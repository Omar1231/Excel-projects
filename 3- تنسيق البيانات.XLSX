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7DE67D9-12E3-4E59-8C15-E510B5F753FA}" xr6:coauthVersionLast="36" xr6:coauthVersionMax="36" xr10:uidLastSave="{00000000-0000-0000-0000-000000000000}"/>
  <bookViews>
    <workbookView xWindow="0" yWindow="0" windowWidth="20490" windowHeight="7005" tabRatio="727" xr2:uid="{00000000-000D-0000-FFFF-FFFF00000000}"/>
  </bookViews>
  <sheets>
    <sheet name="تنسييق البيانات" sheetId="10" r:id="rId1"/>
    <sheet name="تنسيق البيانات - نهائي" sheetId="11" r:id="rId2"/>
  </sheets>
  <definedNames>
    <definedName name="ee" localSheetId="1" hidden="1">{"FirstQ",#N/A,FALSE,"Budget2000";"SecondQ",#N/A,FALSE,"Budget2000";"Summary",#N/A,FALSE,"Budget2000"}</definedName>
    <definedName name="ee" localSheetId="0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0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0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localSheetId="0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localSheetId="0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0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localSheetId="0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2" i="11" l="1"/>
  <c r="AA12" i="11"/>
  <c r="Z12" i="11"/>
  <c r="Y12" i="11"/>
  <c r="X12" i="11"/>
  <c r="W12" i="11"/>
  <c r="V12" i="11"/>
  <c r="S12" i="11"/>
  <c r="R12" i="11"/>
  <c r="Q12" i="11"/>
  <c r="P12" i="11"/>
  <c r="O12" i="11"/>
  <c r="M12" i="11"/>
  <c r="L12" i="11"/>
  <c r="K12" i="11"/>
  <c r="J12" i="11"/>
  <c r="I12" i="11"/>
  <c r="H12" i="11"/>
  <c r="G12" i="11"/>
  <c r="F12" i="11"/>
  <c r="E12" i="11"/>
  <c r="D12" i="11"/>
  <c r="U11" i="11"/>
  <c r="T11" i="11"/>
  <c r="N11" i="11"/>
  <c r="U10" i="11"/>
  <c r="T10" i="11"/>
  <c r="N10" i="11"/>
  <c r="U9" i="11"/>
  <c r="T9" i="11"/>
  <c r="N9" i="11"/>
  <c r="AA8" i="11"/>
  <c r="Z8" i="11"/>
  <c r="Y8" i="11"/>
  <c r="X8" i="11"/>
  <c r="W8" i="11"/>
  <c r="V8" i="11"/>
  <c r="S8" i="11"/>
  <c r="R8" i="11"/>
  <c r="Q8" i="11"/>
  <c r="P8" i="11"/>
  <c r="O8" i="11"/>
  <c r="M8" i="11"/>
  <c r="L8" i="11"/>
  <c r="K8" i="11"/>
  <c r="J8" i="11"/>
  <c r="I8" i="11"/>
  <c r="H8" i="11"/>
  <c r="G8" i="11"/>
  <c r="F8" i="11"/>
  <c r="E8" i="11"/>
  <c r="D8" i="11"/>
  <c r="U7" i="11"/>
  <c r="T7" i="11"/>
  <c r="N7" i="11"/>
  <c r="U6" i="11"/>
  <c r="T6" i="11"/>
  <c r="N6" i="11"/>
  <c r="U5" i="11"/>
  <c r="T5" i="11"/>
  <c r="T8" i="11" s="1"/>
  <c r="T5" i="10"/>
  <c r="U5" i="10"/>
  <c r="N6" i="10"/>
  <c r="T6" i="10"/>
  <c r="T8" i="10" s="1"/>
  <c r="U6" i="10"/>
  <c r="N7" i="10"/>
  <c r="T7" i="10"/>
  <c r="U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U8" i="10"/>
  <c r="V8" i="10"/>
  <c r="W8" i="10"/>
  <c r="X8" i="10"/>
  <c r="Y8" i="10"/>
  <c r="Z8" i="10"/>
  <c r="AA8" i="10"/>
  <c r="N9" i="10"/>
  <c r="T9" i="10"/>
  <c r="U9" i="10"/>
  <c r="N10" i="10"/>
  <c r="T10" i="10"/>
  <c r="U10" i="10"/>
  <c r="N11" i="10"/>
  <c r="T11" i="10"/>
  <c r="U11" i="10"/>
  <c r="D12" i="10"/>
  <c r="E12" i="10"/>
  <c r="F12" i="10"/>
  <c r="G12" i="10"/>
  <c r="H12" i="10"/>
  <c r="I12" i="10"/>
  <c r="J12" i="10"/>
  <c r="K12" i="10"/>
  <c r="L12" i="10"/>
  <c r="M12" i="10"/>
  <c r="O12" i="10"/>
  <c r="P12" i="10"/>
  <c r="Q12" i="10"/>
  <c r="R12" i="10"/>
  <c r="S12" i="10"/>
  <c r="U12" i="10"/>
  <c r="V12" i="10"/>
  <c r="W12" i="10"/>
  <c r="X12" i="10"/>
  <c r="Y12" i="10"/>
  <c r="Z12" i="10"/>
  <c r="AA12" i="10"/>
  <c r="AB12" i="10"/>
  <c r="U8" i="11" l="1"/>
  <c r="N12" i="11"/>
  <c r="N8" i="11"/>
  <c r="T12" i="11"/>
  <c r="T12" i="10"/>
  <c r="N12" i="10"/>
  <c r="U12" i="11"/>
</calcChain>
</file>

<file path=xl/sharedStrings.xml><?xml version="1.0" encoding="utf-8"?>
<sst xmlns="http://schemas.openxmlformats.org/spreadsheetml/2006/main" count="86" uniqueCount="44">
  <si>
    <t>TOTAL</t>
  </si>
  <si>
    <t>Aleppo</t>
  </si>
  <si>
    <t>Damascus</t>
  </si>
  <si>
    <t>غير ذلك</t>
  </si>
  <si>
    <t>رفض الطفل</t>
  </si>
  <si>
    <t>المدرسة غير آمنة</t>
  </si>
  <si>
    <t>الطفل أمي</t>
  </si>
  <si>
    <t>بسبب العمل</t>
  </si>
  <si>
    <t>التعليم غير مهم</t>
  </si>
  <si>
    <t>المدرسة بعيدة</t>
  </si>
  <si>
    <t>أخرى</t>
  </si>
  <si>
    <t>تجاهل</t>
  </si>
  <si>
    <t>عمل</t>
  </si>
  <si>
    <t>نزوح</t>
  </si>
  <si>
    <t>رسوب</t>
  </si>
  <si>
    <t>لا</t>
  </si>
  <si>
    <t>نعم</t>
  </si>
  <si>
    <t>ثانوي</t>
  </si>
  <si>
    <t>اعدادي</t>
  </si>
  <si>
    <t>ابتدائي</t>
  </si>
  <si>
    <t>في عمر المدرسة</t>
  </si>
  <si>
    <t>1 - 5
سنوات</t>
  </si>
  <si>
    <t>أقل من سنة</t>
  </si>
  <si>
    <t>سبب عدم الذهاب للمدرسة</t>
  </si>
  <si>
    <t>النسبة المئوية</t>
  </si>
  <si>
    <t>عدد الأطفال المتخلفين عن الالتحاق بالمدرسة</t>
  </si>
  <si>
    <t>سبب تأخره</t>
  </si>
  <si>
    <t>هل الطفل في الصف الدراسي الصحيح</t>
  </si>
  <si>
    <t>في أي صف</t>
  </si>
  <si>
    <t>هل الطفل يذهب للمدرسة؟</t>
  </si>
  <si>
    <t>أعمار الأطفال</t>
  </si>
  <si>
    <t>المستهدفين</t>
  </si>
  <si>
    <t>عدد المنازل</t>
  </si>
  <si>
    <t>المنطقة</t>
  </si>
  <si>
    <t>المحافظة</t>
  </si>
  <si>
    <t>Date</t>
  </si>
  <si>
    <t>Deir Ez-Zor</t>
  </si>
  <si>
    <t>Alexandria </t>
  </si>
  <si>
    <t>Cairo </t>
  </si>
  <si>
    <t>Aswan </t>
  </si>
  <si>
    <t>Egypt</t>
  </si>
  <si>
    <t>Syria</t>
  </si>
  <si>
    <t>عدد الأطفال المتخلفين 
عن الالتحاق بالمدرسة</t>
  </si>
  <si>
    <t>سبب عدم لذهاب
 للمدرسة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</si>
</sst>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/mmm;@"/>
    <numFmt numFmtId="165" formatCode="[$-F800]dddd\,\ mmmm\ dd\,\ yyyy"/>
    <numFmt numFmtId="167" formatCode="[$-409]d\-m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2"/>
      <color rgb="FFFF0000"/>
      <name val="Arial"/>
      <family val="2"/>
    </font>
    <font>
      <sz val="12"/>
      <color rgb="FFC00000"/>
      <name val="Arial"/>
      <family val="2"/>
    </font>
    <font>
      <sz val="12"/>
      <color rgb="FF222222"/>
      <name val="Arial"/>
      <family val="2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1" applyNumberFormat="1" applyFont="1" applyFill="1" applyBorder="1" applyAlignment="1"/>
    <xf numFmtId="0" fontId="4" fillId="0" borderId="0" xfId="0" applyNumberFormat="1" applyFont="1" applyFill="1" applyBorder="1" applyAlignment="1"/>
    <xf numFmtId="0" fontId="5" fillId="0" borderId="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/>
    <xf numFmtId="0" fontId="8" fillId="6" borderId="10" xfId="1" applyNumberFormat="1" applyFont="1" applyFill="1" applyBorder="1" applyAlignment="1">
      <alignment horizontal="center" vertical="center" wrapText="1"/>
    </xf>
    <xf numFmtId="0" fontId="8" fillId="6" borderId="11" xfId="1" applyNumberFormat="1" applyFont="1" applyFill="1" applyBorder="1" applyAlignment="1">
      <alignment horizontal="center" vertical="center" wrapText="1"/>
    </xf>
    <xf numFmtId="0" fontId="8" fillId="6" borderId="12" xfId="1" applyNumberFormat="1" applyFont="1" applyFill="1" applyBorder="1" applyAlignment="1">
      <alignment horizontal="center" vertical="center" wrapText="1"/>
    </xf>
    <xf numFmtId="0" fontId="8" fillId="8" borderId="12" xfId="1" applyNumberFormat="1" applyFont="1" applyFill="1" applyBorder="1" applyAlignment="1">
      <alignment horizontal="center" vertical="center" wrapText="1"/>
    </xf>
    <xf numFmtId="0" fontId="8" fillId="10" borderId="12" xfId="1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center" wrapText="1"/>
    </xf>
    <xf numFmtId="0" fontId="8" fillId="2" borderId="13" xfId="0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 wrapText="1"/>
    </xf>
    <xf numFmtId="0" fontId="8" fillId="4" borderId="14" xfId="1" applyNumberFormat="1" applyFont="1" applyFill="1" applyBorder="1" applyAlignment="1">
      <alignment vertical="center" wrapText="1"/>
    </xf>
    <xf numFmtId="0" fontId="6" fillId="4" borderId="14" xfId="1" applyNumberFormat="1" applyFont="1" applyFill="1" applyBorder="1" applyAlignment="1">
      <alignment horizontal="center" vertical="center" wrapText="1"/>
    </xf>
    <xf numFmtId="0" fontId="6" fillId="6" borderId="14" xfId="1" applyNumberFormat="1" applyFont="1" applyFill="1" applyBorder="1" applyAlignment="1">
      <alignment horizontal="center" vertical="center" wrapText="1"/>
    </xf>
    <xf numFmtId="0" fontId="11" fillId="7" borderId="14" xfId="1" applyNumberFormat="1" applyFont="1" applyFill="1" applyBorder="1" applyAlignment="1">
      <alignment horizontal="center" vertical="center" wrapText="1"/>
    </xf>
    <xf numFmtId="0" fontId="6" fillId="8" borderId="14" xfId="1" applyNumberFormat="1" applyFont="1" applyFill="1" applyBorder="1" applyAlignment="1">
      <alignment horizontal="center" vertical="center" wrapText="1"/>
    </xf>
    <xf numFmtId="0" fontId="6" fillId="9" borderId="14" xfId="1" applyNumberFormat="1" applyFont="1" applyFill="1" applyBorder="1" applyAlignment="1">
      <alignment horizontal="center" vertical="center" wrapText="1"/>
    </xf>
    <xf numFmtId="0" fontId="6" fillId="10" borderId="14" xfId="1" applyNumberFormat="1" applyFont="1" applyFill="1" applyBorder="1" applyAlignment="1">
      <alignment horizontal="center" vertical="center" wrapText="1"/>
    </xf>
    <xf numFmtId="9" fontId="10" fillId="9" borderId="14" xfId="5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 wrapText="1"/>
    </xf>
    <xf numFmtId="0" fontId="6" fillId="2" borderId="15" xfId="0" applyNumberFormat="1" applyFont="1" applyFill="1" applyBorder="1" applyAlignment="1">
      <alignment horizontal="center" vertical="center" wrapText="1"/>
    </xf>
    <xf numFmtId="164" fontId="6" fillId="4" borderId="16" xfId="1" applyNumberFormat="1" applyFont="1" applyFill="1" applyBorder="1" applyAlignment="1">
      <alignment horizontal="center" vertical="center" wrapText="1"/>
    </xf>
    <xf numFmtId="0" fontId="8" fillId="4" borderId="17" xfId="1" applyNumberFormat="1" applyFont="1" applyFill="1" applyBorder="1" applyAlignment="1">
      <alignment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>
      <alignment horizontal="center" vertical="center" wrapText="1"/>
    </xf>
    <xf numFmtId="0" fontId="11" fillId="7" borderId="1" xfId="1" applyNumberFormat="1" applyFont="1" applyFill="1" applyBorder="1" applyAlignment="1">
      <alignment horizontal="center" vertical="center" wrapText="1"/>
    </xf>
    <xf numFmtId="0" fontId="6" fillId="8" borderId="1" xfId="1" applyNumberFormat="1" applyFont="1" applyFill="1" applyBorder="1" applyAlignment="1">
      <alignment horizontal="center" vertical="center" wrapText="1"/>
    </xf>
    <xf numFmtId="0" fontId="6" fillId="9" borderId="1" xfId="1" applyNumberFormat="1" applyFont="1" applyFill="1" applyBorder="1" applyAlignment="1">
      <alignment horizontal="center" vertical="center" wrapText="1"/>
    </xf>
    <xf numFmtId="0" fontId="6" fillId="10" borderId="1" xfId="1" applyNumberFormat="1" applyFont="1" applyFill="1" applyBorder="1" applyAlignment="1">
      <alignment horizontal="center" vertical="center" wrapText="1"/>
    </xf>
    <xf numFmtId="9" fontId="10" fillId="9" borderId="1" xfId="5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8" xfId="0" applyNumberFormat="1" applyFont="1" applyFill="1" applyBorder="1" applyAlignment="1">
      <alignment horizontal="center" vertical="center" wrapText="1"/>
    </xf>
    <xf numFmtId="164" fontId="6" fillId="4" borderId="8" xfId="1" applyNumberFormat="1" applyFont="1" applyFill="1" applyBorder="1" applyAlignment="1">
      <alignment horizontal="center" vertical="center" wrapText="1"/>
    </xf>
    <xf numFmtId="0" fontId="8" fillId="4" borderId="9" xfId="1" applyNumberFormat="1" applyFont="1" applyFill="1" applyBorder="1" applyAlignment="1">
      <alignment vertical="center" wrapText="1"/>
    </xf>
    <xf numFmtId="0" fontId="6" fillId="4" borderId="12" xfId="1" applyNumberFormat="1" applyFont="1" applyFill="1" applyBorder="1" applyAlignment="1">
      <alignment horizontal="center" vertical="center" wrapText="1"/>
    </xf>
    <xf numFmtId="0" fontId="6" fillId="6" borderId="12" xfId="1" applyNumberFormat="1" applyFont="1" applyFill="1" applyBorder="1" applyAlignment="1">
      <alignment horizontal="center" vertical="center" wrapText="1"/>
    </xf>
    <xf numFmtId="0" fontId="11" fillId="7" borderId="12" xfId="1" applyNumberFormat="1" applyFont="1" applyFill="1" applyBorder="1" applyAlignment="1">
      <alignment horizontal="center" vertical="center" wrapText="1"/>
    </xf>
    <xf numFmtId="0" fontId="6" fillId="8" borderId="12" xfId="1" applyNumberFormat="1" applyFont="1" applyFill="1" applyBorder="1" applyAlignment="1">
      <alignment horizontal="center" vertical="center" wrapText="1"/>
    </xf>
    <xf numFmtId="0" fontId="6" fillId="9" borderId="12" xfId="1" applyNumberFormat="1" applyFont="1" applyFill="1" applyBorder="1" applyAlignment="1">
      <alignment horizontal="center" vertical="center" wrapText="1"/>
    </xf>
    <xf numFmtId="0" fontId="6" fillId="10" borderId="12" xfId="1" applyNumberFormat="1" applyFont="1" applyFill="1" applyBorder="1" applyAlignment="1">
      <alignment horizontal="center" vertical="center" wrapText="1"/>
    </xf>
    <xf numFmtId="9" fontId="10" fillId="9" borderId="12" xfId="5" applyFont="1" applyFill="1" applyBorder="1" applyAlignment="1">
      <alignment horizontal="center" vertical="center"/>
    </xf>
    <xf numFmtId="0" fontId="6" fillId="2" borderId="12" xfId="1" applyNumberFormat="1" applyFont="1" applyFill="1" applyBorder="1" applyAlignment="1">
      <alignment horizontal="center" vertical="center" wrapText="1"/>
    </xf>
    <xf numFmtId="0" fontId="6" fillId="2" borderId="13" xfId="1" applyNumberFormat="1" applyFont="1" applyFill="1" applyBorder="1" applyAlignment="1">
      <alignment horizontal="center" vertical="center" wrapText="1"/>
    </xf>
    <xf numFmtId="164" fontId="6" fillId="4" borderId="19" xfId="1" applyNumberFormat="1" applyFont="1" applyFill="1" applyBorder="1" applyAlignment="1">
      <alignment horizontal="center" vertical="center" wrapText="1"/>
    </xf>
    <xf numFmtId="0" fontId="8" fillId="5" borderId="12" xfId="1" applyNumberFormat="1" applyFont="1" applyFill="1" applyBorder="1" applyAlignment="1">
      <alignment vertical="center" wrapText="1"/>
    </xf>
    <xf numFmtId="0" fontId="6" fillId="5" borderId="12" xfId="1" applyNumberFormat="1" applyFont="1" applyFill="1" applyBorder="1" applyAlignment="1">
      <alignment horizontal="center" vertical="center" wrapText="1"/>
    </xf>
    <xf numFmtId="0" fontId="11" fillId="5" borderId="12" xfId="1" applyNumberFormat="1" applyFont="1" applyFill="1" applyBorder="1" applyAlignment="1">
      <alignment horizontal="center" vertical="center" wrapText="1"/>
    </xf>
    <xf numFmtId="9" fontId="10" fillId="5" borderId="12" xfId="5" applyFont="1" applyFill="1" applyBorder="1" applyAlignment="1">
      <alignment horizontal="center" vertical="center"/>
    </xf>
    <xf numFmtId="0" fontId="6" fillId="5" borderId="13" xfId="1" applyNumberFormat="1" applyFont="1" applyFill="1" applyBorder="1" applyAlignment="1">
      <alignment horizontal="center" vertical="center" wrapText="1"/>
    </xf>
    <xf numFmtId="0" fontId="8" fillId="4" borderId="1" xfId="1" applyNumberFormat="1" applyFont="1" applyFill="1" applyBorder="1" applyAlignment="1">
      <alignment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6" fillId="2" borderId="18" xfId="1" applyNumberFormat="1" applyFont="1" applyFill="1" applyBorder="1" applyAlignment="1">
      <alignment horizontal="center" vertical="center" wrapText="1"/>
    </xf>
    <xf numFmtId="0" fontId="8" fillId="5" borderId="21" xfId="1" applyNumberFormat="1" applyFont="1" applyFill="1" applyBorder="1" applyAlignment="1">
      <alignment vertical="center" wrapText="1"/>
    </xf>
    <xf numFmtId="0" fontId="6" fillId="5" borderId="21" xfId="1" applyNumberFormat="1" applyFont="1" applyFill="1" applyBorder="1" applyAlignment="1">
      <alignment horizontal="center" vertical="center" wrapText="1"/>
    </xf>
    <xf numFmtId="0" fontId="11" fillId="5" borderId="21" xfId="1" applyNumberFormat="1" applyFont="1" applyFill="1" applyBorder="1" applyAlignment="1">
      <alignment horizontal="center" vertical="center" wrapText="1"/>
    </xf>
    <xf numFmtId="9" fontId="10" fillId="5" borderId="21" xfId="5" applyFont="1" applyFill="1" applyBorder="1" applyAlignment="1">
      <alignment horizontal="center" vertical="center"/>
    </xf>
    <xf numFmtId="0" fontId="6" fillId="5" borderId="22" xfId="1" applyNumberFormat="1" applyFont="1" applyFill="1" applyBorder="1" applyAlignment="1">
      <alignment horizontal="center" vertical="center" wrapText="1"/>
    </xf>
    <xf numFmtId="0" fontId="8" fillId="5" borderId="12" xfId="1" applyNumberFormat="1" applyFont="1" applyFill="1" applyBorder="1" applyAlignment="1">
      <alignment horizontal="center" vertical="center" wrapText="1"/>
    </xf>
    <xf numFmtId="0" fontId="6" fillId="5" borderId="14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/>
    <xf numFmtId="0" fontId="5" fillId="5" borderId="3" xfId="1" applyNumberFormat="1" applyFont="1" applyFill="1" applyBorder="1" applyAlignment="1">
      <alignment horizontal="center" vertical="center" wrapText="1"/>
    </xf>
    <xf numFmtId="0" fontId="5" fillId="5" borderId="9" xfId="1" applyNumberFormat="1" applyFont="1" applyFill="1" applyBorder="1" applyAlignment="1">
      <alignment horizontal="center" vertical="center" wrapText="1"/>
    </xf>
    <xf numFmtId="0" fontId="5" fillId="5" borderId="20" xfId="1" applyNumberFormat="1" applyFont="1" applyFill="1" applyBorder="1" applyAlignment="1">
      <alignment horizontal="center" vertical="center" wrapText="1"/>
    </xf>
    <xf numFmtId="0" fontId="8" fillId="10" borderId="4" xfId="1" applyNumberFormat="1" applyFont="1" applyFill="1" applyBorder="1" applyAlignment="1">
      <alignment horizontal="center" vertical="center" wrapText="1"/>
    </xf>
    <xf numFmtId="0" fontId="8" fillId="10" borderId="5" xfId="1" applyNumberFormat="1" applyFont="1" applyFill="1" applyBorder="1" applyAlignment="1">
      <alignment horizontal="center" vertical="center" wrapText="1"/>
    </xf>
    <xf numFmtId="0" fontId="8" fillId="10" borderId="6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8" fillId="5" borderId="6" xfId="1" applyNumberFormat="1" applyFont="1" applyFill="1" applyBorder="1" applyAlignment="1">
      <alignment horizontal="center" vertical="center" wrapText="1"/>
    </xf>
    <xf numFmtId="0" fontId="7" fillId="3" borderId="0" xfId="0" applyNumberFormat="1" applyFont="1" applyFill="1" applyBorder="1" applyAlignment="1">
      <alignment horizontal="center" vertical="center"/>
    </xf>
    <xf numFmtId="0" fontId="8" fillId="6" borderId="4" xfId="1" applyNumberFormat="1" applyFont="1" applyFill="1" applyBorder="1" applyAlignment="1">
      <alignment horizontal="center" vertical="center" wrapText="1"/>
    </xf>
    <xf numFmtId="0" fontId="8" fillId="6" borderId="5" xfId="1" applyNumberFormat="1" applyFont="1" applyFill="1" applyBorder="1" applyAlignment="1">
      <alignment horizontal="center" vertical="center" wrapText="1"/>
    </xf>
    <xf numFmtId="0" fontId="8" fillId="6" borderId="6" xfId="1" applyNumberFormat="1" applyFont="1" applyFill="1" applyBorder="1" applyAlignment="1">
      <alignment horizontal="center" vertical="center" wrapText="1"/>
    </xf>
    <xf numFmtId="0" fontId="9" fillId="7" borderId="3" xfId="1" applyNumberFormat="1" applyFont="1" applyFill="1" applyBorder="1" applyAlignment="1">
      <alignment horizontal="center" vertical="center" wrapText="1"/>
    </xf>
    <xf numFmtId="0" fontId="9" fillId="7" borderId="9" xfId="1" applyNumberFormat="1" applyFont="1" applyFill="1" applyBorder="1" applyAlignment="1">
      <alignment horizontal="center" vertical="center" wrapText="1"/>
    </xf>
    <xf numFmtId="0" fontId="8" fillId="8" borderId="4" xfId="1" applyNumberFormat="1" applyFont="1" applyFill="1" applyBorder="1" applyAlignment="1">
      <alignment horizontal="center" vertical="center"/>
    </xf>
    <xf numFmtId="0" fontId="8" fillId="8" borderId="5" xfId="1" applyNumberFormat="1" applyFont="1" applyFill="1" applyBorder="1" applyAlignment="1">
      <alignment horizontal="center" vertical="center"/>
    </xf>
    <xf numFmtId="0" fontId="8" fillId="8" borderId="6" xfId="1" applyNumberFormat="1" applyFont="1" applyFill="1" applyBorder="1" applyAlignment="1">
      <alignment horizontal="center" vertical="center"/>
    </xf>
    <xf numFmtId="0" fontId="8" fillId="9" borderId="3" xfId="1" applyNumberFormat="1" applyFont="1" applyFill="1" applyBorder="1" applyAlignment="1">
      <alignment horizontal="center" vertical="center" wrapText="1"/>
    </xf>
    <xf numFmtId="0" fontId="8" fillId="9" borderId="9" xfId="1" applyNumberFormat="1" applyFont="1" applyFill="1" applyBorder="1" applyAlignment="1">
      <alignment horizontal="center" vertical="center" wrapText="1"/>
    </xf>
    <xf numFmtId="0" fontId="10" fillId="9" borderId="3" xfId="0" applyNumberFormat="1" applyFont="1" applyFill="1" applyBorder="1" applyAlignment="1">
      <alignment horizontal="center" vertical="center" textRotation="90"/>
    </xf>
    <xf numFmtId="0" fontId="10" fillId="9" borderId="9" xfId="0" applyNumberFormat="1" applyFont="1" applyFill="1" applyBorder="1" applyAlignment="1">
      <alignment horizontal="center" vertical="center" textRotation="90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8" fillId="4" borderId="2" xfId="1" applyNumberFormat="1" applyFont="1" applyFill="1" applyBorder="1" applyAlignment="1">
      <alignment horizontal="center" vertical="center" wrapText="1"/>
    </xf>
    <xf numFmtId="0" fontId="8" fillId="4" borderId="8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9" xfId="1" applyNumberFormat="1" applyFont="1" applyFill="1" applyBorder="1" applyAlignment="1">
      <alignment horizontal="center" vertical="center" wrapText="1"/>
    </xf>
    <xf numFmtId="0" fontId="8" fillId="4" borderId="3" xfId="1" applyNumberFormat="1" applyFont="1" applyFill="1" applyBorder="1" applyAlignment="1">
      <alignment horizontal="center" vertical="center" wrapText="1"/>
    </xf>
    <xf numFmtId="0" fontId="8" fillId="4" borderId="9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1" applyNumberFormat="1" applyFont="1" applyFill="1" applyBorder="1" applyAlignment="1"/>
    <xf numFmtId="0" fontId="12" fillId="0" borderId="1" xfId="0" applyFont="1" applyBorder="1"/>
    <xf numFmtId="9" fontId="0" fillId="0" borderId="1" xfId="5" applyFont="1" applyBorder="1"/>
    <xf numFmtId="0" fontId="0" fillId="11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0" fontId="13" fillId="11" borderId="1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6">
    <cellStyle name="Comma 2" xfId="2" xr:uid="{00000000-0005-0000-0000-000000000000}"/>
    <cellStyle name="Comma 4" xfId="3" xr:uid="{00000000-0005-0000-0000-000001000000}"/>
    <cellStyle name="Normal" xfId="0" builtinId="0"/>
    <cellStyle name="Normal 2 2" xfId="1" xr:uid="{00000000-0005-0000-0000-000004000000}"/>
    <cellStyle name="Normal 4" xfId="4" xr:uid="{00000000-0005-0000-0000-000005000000}"/>
    <cellStyle name="Percent" xfId="5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F09B-4367-4AE1-BCA8-F45D6AFF2DF9}">
  <sheetPr>
    <tabColor theme="7" tint="0.39997558519241921"/>
  </sheetPr>
  <dimension ref="A2:AC16"/>
  <sheetViews>
    <sheetView tabSelected="1" workbookViewId="0">
      <selection activeCell="A2" sqref="A2"/>
    </sheetView>
  </sheetViews>
  <sheetFormatPr defaultColWidth="9" defaultRowHeight="12.75" x14ac:dyDescent="0.2"/>
  <cols>
    <col min="1" max="1" width="25.140625" style="1" customWidth="1"/>
    <col min="2" max="2" width="16.5703125" style="1" customWidth="1"/>
    <col min="3" max="3" width="17.140625" style="1" customWidth="1"/>
    <col min="4" max="4" width="16.5703125" style="1" customWidth="1"/>
    <col min="5" max="5" width="11.140625" style="1" customWidth="1"/>
    <col min="6" max="6" width="9.140625" style="1" bestFit="1" customWidth="1"/>
    <col min="7" max="7" width="10.28515625" style="1" customWidth="1"/>
    <col min="8" max="8" width="13.5703125" style="1" customWidth="1"/>
    <col min="9" max="9" width="20" style="1" customWidth="1"/>
    <col min="10" max="10" width="11.28515625" style="1" customWidth="1"/>
    <col min="11" max="11" width="10.7109375" style="1" bestFit="1" customWidth="1"/>
    <col min="12" max="12" width="7.5703125" style="1" bestFit="1" customWidth="1"/>
    <col min="13" max="13" width="9.85546875" style="1" bestFit="1" customWidth="1"/>
    <col min="14" max="16" width="9.140625" style="1" bestFit="1" customWidth="1"/>
    <col min="17" max="17" width="9.140625" style="1" customWidth="1"/>
    <col min="18" max="18" width="9" style="1" customWidth="1"/>
    <col min="19" max="19" width="9.140625" style="1" bestFit="1" customWidth="1"/>
    <col min="20" max="20" width="10.85546875" style="1" customWidth="1"/>
    <col min="21" max="21" width="13.140625" style="2" customWidth="1"/>
    <col min="22" max="22" width="11.28515625" style="1" customWidth="1"/>
    <col min="23" max="23" width="7.5703125" style="1" bestFit="1" customWidth="1"/>
    <col min="24" max="24" width="8" style="1" bestFit="1" customWidth="1"/>
    <col min="25" max="25" width="9.140625" style="1" bestFit="1" customWidth="1"/>
    <col min="26" max="26" width="7.5703125" style="1" bestFit="1" customWidth="1"/>
    <col min="27" max="27" width="9.140625" style="1" bestFit="1" customWidth="1"/>
    <col min="28" max="28" width="7.5703125" style="1" bestFit="1" customWidth="1"/>
    <col min="29" max="16384" width="9" style="1"/>
  </cols>
  <sheetData>
    <row r="2" spans="1:29" ht="13.5" customHeigh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V2"/>
      <c r="W2"/>
      <c r="X2"/>
      <c r="Y2"/>
      <c r="Z2"/>
      <c r="AA2"/>
      <c r="AB2"/>
      <c r="AC2"/>
    </row>
    <row r="3" spans="1:29" s="5" customFormat="1" ht="46.5" customHeight="1" x14ac:dyDescent="0.25">
      <c r="A3" s="99" t="s">
        <v>35</v>
      </c>
      <c r="B3" s="99" t="s">
        <v>34</v>
      </c>
      <c r="C3" s="99" t="s">
        <v>33</v>
      </c>
      <c r="D3" s="99" t="s">
        <v>32</v>
      </c>
      <c r="E3" s="99" t="s">
        <v>31</v>
      </c>
      <c r="F3" s="94" t="s">
        <v>30</v>
      </c>
      <c r="G3" s="94"/>
      <c r="H3" s="94"/>
      <c r="I3" s="95" t="s">
        <v>29</v>
      </c>
      <c r="J3" s="95" t="s">
        <v>28</v>
      </c>
      <c r="K3" s="106" t="s">
        <v>27</v>
      </c>
      <c r="L3" s="107"/>
      <c r="M3" s="108"/>
      <c r="N3" s="96"/>
      <c r="O3" s="95" t="s">
        <v>26</v>
      </c>
      <c r="P3" s="95"/>
      <c r="Q3" s="95"/>
      <c r="R3" s="95"/>
      <c r="S3" s="109" t="s">
        <v>42</v>
      </c>
      <c r="T3" s="108"/>
      <c r="U3" s="95" t="s">
        <v>24</v>
      </c>
      <c r="V3" s="110" t="s">
        <v>43</v>
      </c>
      <c r="W3" s="95"/>
      <c r="X3" s="95"/>
      <c r="Y3" s="95"/>
      <c r="Z3" s="95"/>
      <c r="AA3" s="95"/>
      <c r="AB3" s="95"/>
    </row>
    <row r="4" spans="1:29" s="4" customFormat="1" ht="15.75" x14ac:dyDescent="0.25">
      <c r="A4" s="99"/>
      <c r="B4" s="99"/>
      <c r="C4" s="99"/>
      <c r="D4" s="99"/>
      <c r="E4" s="99"/>
      <c r="F4" s="95" t="s">
        <v>22</v>
      </c>
      <c r="G4" s="95" t="s">
        <v>21</v>
      </c>
      <c r="H4" s="95" t="s">
        <v>20</v>
      </c>
      <c r="I4" s="95"/>
      <c r="J4" s="95" t="s">
        <v>19</v>
      </c>
      <c r="K4" s="95" t="s">
        <v>18</v>
      </c>
      <c r="L4" s="95" t="s">
        <v>17</v>
      </c>
      <c r="M4" s="95" t="s">
        <v>16</v>
      </c>
      <c r="N4" s="95" t="s">
        <v>15</v>
      </c>
      <c r="O4" s="95" t="s">
        <v>14</v>
      </c>
      <c r="P4" s="95" t="s">
        <v>13</v>
      </c>
      <c r="Q4" s="95" t="s">
        <v>12</v>
      </c>
      <c r="R4" s="95" t="s">
        <v>11</v>
      </c>
      <c r="S4" s="95" t="s">
        <v>10</v>
      </c>
      <c r="T4" s="95"/>
      <c r="U4" s="95"/>
      <c r="V4" s="95" t="s">
        <v>9</v>
      </c>
      <c r="W4" s="95" t="s">
        <v>8</v>
      </c>
      <c r="X4" s="95" t="s">
        <v>7</v>
      </c>
      <c r="Y4" s="95" t="s">
        <v>6</v>
      </c>
      <c r="Z4" s="95" t="s">
        <v>5</v>
      </c>
      <c r="AA4" s="95" t="s">
        <v>4</v>
      </c>
      <c r="AB4" s="95" t="s">
        <v>3</v>
      </c>
    </row>
    <row r="5" spans="1:29" s="4" customFormat="1" ht="23.25" customHeight="1" x14ac:dyDescent="0.25">
      <c r="A5" s="100">
        <v>42655</v>
      </c>
      <c r="B5" s="102" t="s">
        <v>41</v>
      </c>
      <c r="C5" s="95" t="s">
        <v>2</v>
      </c>
      <c r="D5" s="95">
        <v>187</v>
      </c>
      <c r="E5" s="95">
        <v>320</v>
      </c>
      <c r="F5" s="95">
        <v>56</v>
      </c>
      <c r="G5" s="95">
        <v>96</v>
      </c>
      <c r="H5" s="95">
        <v>168</v>
      </c>
      <c r="I5" s="95">
        <v>130</v>
      </c>
      <c r="J5" s="95">
        <v>36</v>
      </c>
      <c r="K5" s="95">
        <v>52</v>
      </c>
      <c r="L5" s="95">
        <v>42</v>
      </c>
      <c r="M5" s="95">
        <v>107</v>
      </c>
      <c r="N5" s="95">
        <v>23</v>
      </c>
      <c r="O5" s="95">
        <v>3</v>
      </c>
      <c r="P5" s="95">
        <v>5</v>
      </c>
      <c r="Q5" s="95">
        <v>9</v>
      </c>
      <c r="R5" s="95">
        <v>6</v>
      </c>
      <c r="S5" s="95">
        <v>0</v>
      </c>
      <c r="T5" s="95">
        <f>E5-I5</f>
        <v>190</v>
      </c>
      <c r="U5" s="98">
        <f t="shared" ref="U5:U12" si="0">I5/E5</f>
        <v>0.40625</v>
      </c>
      <c r="V5" s="95">
        <v>36</v>
      </c>
      <c r="W5" s="95">
        <v>12</v>
      </c>
      <c r="X5" s="95">
        <v>89</v>
      </c>
      <c r="Y5" s="95">
        <v>5</v>
      </c>
      <c r="Z5" s="95">
        <v>16</v>
      </c>
      <c r="AA5" s="95">
        <v>21</v>
      </c>
      <c r="AB5" s="95">
        <v>11</v>
      </c>
    </row>
    <row r="6" spans="1:29" s="4" customFormat="1" ht="23.25" customHeight="1" x14ac:dyDescent="0.25">
      <c r="A6" s="100">
        <v>42656</v>
      </c>
      <c r="B6" s="102"/>
      <c r="C6" s="95" t="s">
        <v>1</v>
      </c>
      <c r="D6" s="95">
        <v>190</v>
      </c>
      <c r="E6" s="95">
        <v>540</v>
      </c>
      <c r="F6" s="95">
        <v>29</v>
      </c>
      <c r="G6" s="95">
        <v>26</v>
      </c>
      <c r="H6" s="95">
        <v>485</v>
      </c>
      <c r="I6" s="95">
        <v>420</v>
      </c>
      <c r="J6" s="95">
        <v>105</v>
      </c>
      <c r="K6" s="95">
        <v>63</v>
      </c>
      <c r="L6" s="95">
        <v>252</v>
      </c>
      <c r="M6" s="95">
        <v>390</v>
      </c>
      <c r="N6" s="95">
        <f>I6-M6</f>
        <v>30</v>
      </c>
      <c r="O6" s="95">
        <v>9</v>
      </c>
      <c r="P6" s="95">
        <v>6</v>
      </c>
      <c r="Q6" s="95">
        <v>12</v>
      </c>
      <c r="R6" s="95">
        <v>0</v>
      </c>
      <c r="S6" s="95">
        <v>3</v>
      </c>
      <c r="T6" s="95">
        <f>E6-I6</f>
        <v>120</v>
      </c>
      <c r="U6" s="98">
        <f t="shared" si="0"/>
        <v>0.77777777777777779</v>
      </c>
      <c r="V6" s="95">
        <v>13</v>
      </c>
      <c r="W6" s="95">
        <v>13</v>
      </c>
      <c r="X6" s="95">
        <v>46</v>
      </c>
      <c r="Y6" s="95">
        <v>8</v>
      </c>
      <c r="Z6" s="95">
        <v>25</v>
      </c>
      <c r="AA6" s="95">
        <v>6</v>
      </c>
      <c r="AB6" s="95">
        <v>9</v>
      </c>
    </row>
    <row r="7" spans="1:29" s="3" customFormat="1" ht="23.25" customHeight="1" x14ac:dyDescent="0.25">
      <c r="A7" s="100">
        <v>42657</v>
      </c>
      <c r="B7" s="102"/>
      <c r="C7" s="95" t="s">
        <v>36</v>
      </c>
      <c r="D7" s="95">
        <v>351</v>
      </c>
      <c r="E7" s="95">
        <v>750</v>
      </c>
      <c r="F7" s="95">
        <v>49</v>
      </c>
      <c r="G7" s="95">
        <v>45</v>
      </c>
      <c r="H7" s="95">
        <v>656</v>
      </c>
      <c r="I7" s="95">
        <v>506</v>
      </c>
      <c r="J7" s="95">
        <v>96</v>
      </c>
      <c r="K7" s="95">
        <v>125</v>
      </c>
      <c r="L7" s="95">
        <v>285</v>
      </c>
      <c r="M7" s="95">
        <v>453</v>
      </c>
      <c r="N7" s="95">
        <f>I7-M7</f>
        <v>53</v>
      </c>
      <c r="O7" s="95">
        <v>5</v>
      </c>
      <c r="P7" s="95">
        <v>13</v>
      </c>
      <c r="Q7" s="95">
        <v>26</v>
      </c>
      <c r="R7" s="95">
        <v>3</v>
      </c>
      <c r="S7" s="95">
        <v>6</v>
      </c>
      <c r="T7" s="95">
        <f>E7-I7</f>
        <v>244</v>
      </c>
      <c r="U7" s="98">
        <f t="shared" si="0"/>
        <v>0.67466666666666664</v>
      </c>
      <c r="V7" s="95">
        <v>27</v>
      </c>
      <c r="W7" s="95">
        <v>0</v>
      </c>
      <c r="X7" s="95">
        <v>125</v>
      </c>
      <c r="Y7" s="95">
        <v>5</v>
      </c>
      <c r="Z7" s="95">
        <v>68</v>
      </c>
      <c r="AA7" s="95">
        <v>12</v>
      </c>
      <c r="AB7" s="95">
        <v>7</v>
      </c>
    </row>
    <row r="8" spans="1:29" s="3" customFormat="1" ht="23.25" customHeight="1" x14ac:dyDescent="0.25">
      <c r="A8" s="100"/>
      <c r="B8" s="102"/>
      <c r="C8" s="95" t="s">
        <v>0</v>
      </c>
      <c r="D8" s="95">
        <f t="shared" ref="D8:T8" si="1">SUM(D5:D7)</f>
        <v>728</v>
      </c>
      <c r="E8" s="95">
        <f t="shared" si="1"/>
        <v>1610</v>
      </c>
      <c r="F8" s="95">
        <f t="shared" si="1"/>
        <v>134</v>
      </c>
      <c r="G8" s="95">
        <f t="shared" si="1"/>
        <v>167</v>
      </c>
      <c r="H8" s="95">
        <f t="shared" si="1"/>
        <v>1309</v>
      </c>
      <c r="I8" s="95">
        <f t="shared" si="1"/>
        <v>1056</v>
      </c>
      <c r="J8" s="95">
        <f t="shared" si="1"/>
        <v>237</v>
      </c>
      <c r="K8" s="95">
        <f t="shared" si="1"/>
        <v>240</v>
      </c>
      <c r="L8" s="95">
        <f t="shared" si="1"/>
        <v>579</v>
      </c>
      <c r="M8" s="95">
        <f t="shared" si="1"/>
        <v>950</v>
      </c>
      <c r="N8" s="95">
        <f t="shared" si="1"/>
        <v>106</v>
      </c>
      <c r="O8" s="95">
        <f t="shared" si="1"/>
        <v>17</v>
      </c>
      <c r="P8" s="95">
        <f t="shared" si="1"/>
        <v>24</v>
      </c>
      <c r="Q8" s="95">
        <f t="shared" si="1"/>
        <v>47</v>
      </c>
      <c r="R8" s="95">
        <f t="shared" si="1"/>
        <v>9</v>
      </c>
      <c r="S8" s="95">
        <f t="shared" si="1"/>
        <v>9</v>
      </c>
      <c r="T8" s="95">
        <f t="shared" si="1"/>
        <v>554</v>
      </c>
      <c r="U8" s="98">
        <f t="shared" si="0"/>
        <v>0.65590062111801239</v>
      </c>
      <c r="V8" s="95">
        <f t="shared" ref="V8:AA8" si="2">SUM(V5:V7)</f>
        <v>76</v>
      </c>
      <c r="W8" s="95">
        <f t="shared" si="2"/>
        <v>25</v>
      </c>
      <c r="X8" s="95">
        <f t="shared" si="2"/>
        <v>260</v>
      </c>
      <c r="Y8" s="95">
        <f t="shared" si="2"/>
        <v>18</v>
      </c>
      <c r="Z8" s="95">
        <f t="shared" si="2"/>
        <v>109</v>
      </c>
      <c r="AA8" s="95">
        <f t="shared" si="2"/>
        <v>39</v>
      </c>
      <c r="AB8" s="95">
        <v>27</v>
      </c>
    </row>
    <row r="9" spans="1:29" s="4" customFormat="1" ht="23.25" customHeight="1" x14ac:dyDescent="0.25">
      <c r="A9" s="100">
        <v>42713</v>
      </c>
      <c r="B9" s="103" t="s">
        <v>40</v>
      </c>
      <c r="C9" s="97" t="s">
        <v>38</v>
      </c>
      <c r="D9" s="95">
        <v>210</v>
      </c>
      <c r="E9" s="95">
        <v>654</v>
      </c>
      <c r="F9" s="95">
        <v>34</v>
      </c>
      <c r="G9" s="95">
        <v>85</v>
      </c>
      <c r="H9" s="95">
        <v>535</v>
      </c>
      <c r="I9" s="95">
        <v>413</v>
      </c>
      <c r="J9" s="95">
        <v>110</v>
      </c>
      <c r="K9" s="95">
        <v>236</v>
      </c>
      <c r="L9" s="95">
        <v>67</v>
      </c>
      <c r="M9" s="95">
        <v>365</v>
      </c>
      <c r="N9" s="95">
        <f>I9-M9</f>
        <v>48</v>
      </c>
      <c r="O9" s="95">
        <v>6</v>
      </c>
      <c r="P9" s="95">
        <v>12</v>
      </c>
      <c r="Q9" s="95">
        <v>20</v>
      </c>
      <c r="R9" s="95">
        <v>5</v>
      </c>
      <c r="S9" s="95">
        <v>5</v>
      </c>
      <c r="T9" s="95">
        <f>E9-I9</f>
        <v>241</v>
      </c>
      <c r="U9" s="98">
        <f t="shared" si="0"/>
        <v>0.63149847094801226</v>
      </c>
      <c r="V9" s="95">
        <v>24</v>
      </c>
      <c r="W9" s="95">
        <v>55</v>
      </c>
      <c r="X9" s="95">
        <v>69</v>
      </c>
      <c r="Y9" s="95">
        <v>25</v>
      </c>
      <c r="Z9" s="95">
        <v>36</v>
      </c>
      <c r="AA9" s="95">
        <v>14</v>
      </c>
      <c r="AB9" s="95">
        <v>18</v>
      </c>
    </row>
    <row r="10" spans="1:29" s="4" customFormat="1" ht="23.25" customHeight="1" x14ac:dyDescent="0.25">
      <c r="A10" s="100">
        <v>42714</v>
      </c>
      <c r="B10" s="104"/>
      <c r="C10" s="97" t="s">
        <v>37</v>
      </c>
      <c r="D10" s="95">
        <v>352</v>
      </c>
      <c r="E10" s="95">
        <v>852</v>
      </c>
      <c r="F10" s="95">
        <v>85</v>
      </c>
      <c r="G10" s="95">
        <v>120</v>
      </c>
      <c r="H10" s="95">
        <v>647</v>
      </c>
      <c r="I10" s="95">
        <v>485</v>
      </c>
      <c r="J10" s="95">
        <v>50</v>
      </c>
      <c r="K10" s="95">
        <v>210</v>
      </c>
      <c r="L10" s="95">
        <v>225</v>
      </c>
      <c r="M10" s="95">
        <v>268</v>
      </c>
      <c r="N10" s="95">
        <f>I10-M10</f>
        <v>217</v>
      </c>
      <c r="O10" s="95">
        <v>13</v>
      </c>
      <c r="P10" s="95">
        <v>58</v>
      </c>
      <c r="Q10" s="95">
        <v>106</v>
      </c>
      <c r="R10" s="95">
        <v>6</v>
      </c>
      <c r="S10" s="95">
        <v>34</v>
      </c>
      <c r="T10" s="95">
        <f>E10-I10</f>
        <v>367</v>
      </c>
      <c r="U10" s="98">
        <f t="shared" si="0"/>
        <v>0.56924882629107976</v>
      </c>
      <c r="V10" s="95">
        <v>121</v>
      </c>
      <c r="W10" s="95">
        <v>25</v>
      </c>
      <c r="X10" s="95">
        <v>54</v>
      </c>
      <c r="Y10" s="95">
        <v>19</v>
      </c>
      <c r="Z10" s="95">
        <v>144</v>
      </c>
      <c r="AA10" s="95">
        <v>3</v>
      </c>
      <c r="AB10" s="95">
        <v>1</v>
      </c>
    </row>
    <row r="11" spans="1:29" s="3" customFormat="1" ht="23.25" customHeight="1" x14ac:dyDescent="0.25">
      <c r="A11" s="100">
        <v>42715</v>
      </c>
      <c r="B11" s="104"/>
      <c r="C11" s="97" t="s">
        <v>39</v>
      </c>
      <c r="D11" s="95">
        <v>112</v>
      </c>
      <c r="E11" s="95">
        <v>559</v>
      </c>
      <c r="F11" s="95">
        <v>36</v>
      </c>
      <c r="G11" s="95">
        <v>76</v>
      </c>
      <c r="H11" s="95">
        <v>447</v>
      </c>
      <c r="I11" s="95">
        <v>396</v>
      </c>
      <c r="J11" s="95">
        <v>113</v>
      </c>
      <c r="K11" s="95">
        <v>156</v>
      </c>
      <c r="L11" s="95">
        <v>127</v>
      </c>
      <c r="M11" s="95">
        <v>322</v>
      </c>
      <c r="N11" s="95">
        <f>I11-M11</f>
        <v>74</v>
      </c>
      <c r="O11" s="95">
        <v>78</v>
      </c>
      <c r="P11" s="95">
        <v>73</v>
      </c>
      <c r="Q11" s="95">
        <v>270</v>
      </c>
      <c r="R11" s="95">
        <v>271</v>
      </c>
      <c r="S11" s="95">
        <v>268</v>
      </c>
      <c r="T11" s="95">
        <f>E11-I11</f>
        <v>163</v>
      </c>
      <c r="U11" s="98">
        <f t="shared" si="0"/>
        <v>0.70840787119856885</v>
      </c>
      <c r="V11" s="95">
        <v>27</v>
      </c>
      <c r="W11" s="95">
        <v>8</v>
      </c>
      <c r="X11" s="95">
        <v>61</v>
      </c>
      <c r="Y11" s="95">
        <v>29</v>
      </c>
      <c r="Z11" s="95">
        <v>12</v>
      </c>
      <c r="AA11" s="95">
        <v>20</v>
      </c>
      <c r="AB11" s="95">
        <v>6</v>
      </c>
    </row>
    <row r="12" spans="1:29" s="3" customFormat="1" ht="23.25" customHeight="1" x14ac:dyDescent="0.25">
      <c r="A12" s="101"/>
      <c r="B12" s="105"/>
      <c r="C12" s="95" t="s">
        <v>0</v>
      </c>
      <c r="D12" s="95">
        <f t="shared" ref="D12:T12" si="3">SUM(D9:D11)</f>
        <v>674</v>
      </c>
      <c r="E12" s="95">
        <f t="shared" si="3"/>
        <v>2065</v>
      </c>
      <c r="F12" s="95">
        <f t="shared" si="3"/>
        <v>155</v>
      </c>
      <c r="G12" s="95">
        <f t="shared" si="3"/>
        <v>281</v>
      </c>
      <c r="H12" s="95">
        <f t="shared" si="3"/>
        <v>1629</v>
      </c>
      <c r="I12" s="95">
        <f t="shared" si="3"/>
        <v>1294</v>
      </c>
      <c r="J12" s="95">
        <f t="shared" si="3"/>
        <v>273</v>
      </c>
      <c r="K12" s="95">
        <f t="shared" si="3"/>
        <v>602</v>
      </c>
      <c r="L12" s="95">
        <f t="shared" si="3"/>
        <v>419</v>
      </c>
      <c r="M12" s="95">
        <f t="shared" si="3"/>
        <v>955</v>
      </c>
      <c r="N12" s="95">
        <f t="shared" si="3"/>
        <v>339</v>
      </c>
      <c r="O12" s="95">
        <f t="shared" si="3"/>
        <v>97</v>
      </c>
      <c r="P12" s="95">
        <f t="shared" si="3"/>
        <v>143</v>
      </c>
      <c r="Q12" s="95">
        <f t="shared" si="3"/>
        <v>396</v>
      </c>
      <c r="R12" s="95">
        <f t="shared" si="3"/>
        <v>282</v>
      </c>
      <c r="S12" s="95">
        <f t="shared" si="3"/>
        <v>307</v>
      </c>
      <c r="T12" s="95">
        <f t="shared" si="3"/>
        <v>771</v>
      </c>
      <c r="U12" s="98">
        <f t="shared" si="0"/>
        <v>0.62663438256658599</v>
      </c>
      <c r="V12" s="95">
        <f t="shared" ref="V12:AB12" si="4">SUM(V9:V11)</f>
        <v>172</v>
      </c>
      <c r="W12" s="95">
        <f t="shared" si="4"/>
        <v>88</v>
      </c>
      <c r="X12" s="95">
        <f t="shared" si="4"/>
        <v>184</v>
      </c>
      <c r="Y12" s="95">
        <f t="shared" si="4"/>
        <v>73</v>
      </c>
      <c r="Z12" s="95">
        <f t="shared" si="4"/>
        <v>192</v>
      </c>
      <c r="AA12" s="95">
        <f t="shared" si="4"/>
        <v>37</v>
      </c>
      <c r="AB12" s="95">
        <f t="shared" si="4"/>
        <v>25</v>
      </c>
    </row>
    <row r="13" spans="1:29" x14ac:dyDescent="0.2">
      <c r="U13" s="1"/>
    </row>
    <row r="14" spans="1:29" x14ac:dyDescent="0.2">
      <c r="C14" s="63"/>
    </row>
    <row r="15" spans="1:29" x14ac:dyDescent="0.2">
      <c r="C15" s="63"/>
    </row>
    <row r="16" spans="1:29" x14ac:dyDescent="0.2">
      <c r="C16" s="63"/>
    </row>
  </sheetData>
  <mergeCells count="10">
    <mergeCell ref="B5:B8"/>
    <mergeCell ref="B9:B12"/>
    <mergeCell ref="K3:M3"/>
    <mergeCell ref="S3:T3"/>
    <mergeCell ref="A3:A4"/>
    <mergeCell ref="B3:B4"/>
    <mergeCell ref="C3:C4"/>
    <mergeCell ref="D3:D4"/>
    <mergeCell ref="E3:E4"/>
    <mergeCell ref="F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3D63-BA3C-41E7-8476-64E85CACDDD4}">
  <sheetPr>
    <tabColor theme="7" tint="0.39997558519241921"/>
  </sheetPr>
  <dimension ref="A2:AB13"/>
  <sheetViews>
    <sheetView workbookViewId="0">
      <selection activeCell="B3" sqref="B3:B4"/>
    </sheetView>
  </sheetViews>
  <sheetFormatPr defaultColWidth="9" defaultRowHeight="12.75" x14ac:dyDescent="0.2"/>
  <cols>
    <col min="1" max="1" width="14.42578125" style="1" customWidth="1"/>
    <col min="2" max="2" width="16.5703125" style="1" customWidth="1"/>
    <col min="3" max="3" width="17.140625" style="1" customWidth="1"/>
    <col min="4" max="4" width="16.5703125" style="1" customWidth="1"/>
    <col min="5" max="5" width="11.140625" style="1" customWidth="1"/>
    <col min="6" max="7" width="9.140625" style="1" bestFit="1" customWidth="1"/>
    <col min="8" max="8" width="9.140625" style="1" customWidth="1"/>
    <col min="9" max="10" width="9.140625" style="1" bestFit="1" customWidth="1"/>
    <col min="11" max="11" width="10.7109375" style="1" bestFit="1" customWidth="1"/>
    <col min="12" max="12" width="7.5703125" style="1" bestFit="1" customWidth="1"/>
    <col min="13" max="13" width="9.85546875" style="1" bestFit="1" customWidth="1"/>
    <col min="14" max="19" width="9.140625" style="1" bestFit="1" customWidth="1"/>
    <col min="20" max="20" width="8.140625" style="1" bestFit="1" customWidth="1"/>
    <col min="21" max="21" width="9.42578125" style="2" bestFit="1" customWidth="1"/>
    <col min="22" max="28" width="9.28515625" style="1" customWidth="1"/>
    <col min="29" max="16384" width="9" style="1"/>
  </cols>
  <sheetData>
    <row r="2" spans="1:28" ht="15" customHeight="1" thickBot="1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V2" s="72"/>
      <c r="W2" s="72"/>
      <c r="X2" s="72"/>
      <c r="Y2" s="72"/>
      <c r="Z2" s="72"/>
      <c r="AA2" s="72"/>
      <c r="AB2" s="72"/>
    </row>
    <row r="3" spans="1:28" s="5" customFormat="1" ht="31.5" customHeight="1" x14ac:dyDescent="0.2">
      <c r="A3" s="88" t="s">
        <v>35</v>
      </c>
      <c r="B3" s="90" t="s">
        <v>34</v>
      </c>
      <c r="C3" s="92" t="s">
        <v>33</v>
      </c>
      <c r="D3" s="92" t="s">
        <v>32</v>
      </c>
      <c r="E3" s="92" t="s">
        <v>31</v>
      </c>
      <c r="F3" s="73" t="s">
        <v>30</v>
      </c>
      <c r="G3" s="74"/>
      <c r="H3" s="75"/>
      <c r="I3" s="76" t="s">
        <v>29</v>
      </c>
      <c r="J3" s="78" t="s">
        <v>28</v>
      </c>
      <c r="K3" s="79"/>
      <c r="L3" s="80"/>
      <c r="M3" s="70" t="s">
        <v>27</v>
      </c>
      <c r="N3" s="71"/>
      <c r="O3" s="67" t="s">
        <v>26</v>
      </c>
      <c r="P3" s="68"/>
      <c r="Q3" s="68"/>
      <c r="R3" s="68"/>
      <c r="S3" s="69"/>
      <c r="T3" s="81" t="s">
        <v>25</v>
      </c>
      <c r="U3" s="83" t="s">
        <v>24</v>
      </c>
      <c r="V3" s="85" t="s">
        <v>23</v>
      </c>
      <c r="W3" s="86"/>
      <c r="X3" s="86"/>
      <c r="Y3" s="86"/>
      <c r="Z3" s="86"/>
      <c r="AA3" s="86"/>
      <c r="AB3" s="87"/>
    </row>
    <row r="4" spans="1:28" s="4" customFormat="1" ht="32.25" thickBot="1" x14ac:dyDescent="0.25">
      <c r="A4" s="89"/>
      <c r="B4" s="91"/>
      <c r="C4" s="93"/>
      <c r="D4" s="93"/>
      <c r="E4" s="93"/>
      <c r="F4" s="6" t="s">
        <v>22</v>
      </c>
      <c r="G4" s="7" t="s">
        <v>21</v>
      </c>
      <c r="H4" s="8" t="s">
        <v>20</v>
      </c>
      <c r="I4" s="77"/>
      <c r="J4" s="9" t="s">
        <v>19</v>
      </c>
      <c r="K4" s="9" t="s">
        <v>18</v>
      </c>
      <c r="L4" s="9" t="s">
        <v>17</v>
      </c>
      <c r="M4" s="60" t="s">
        <v>16</v>
      </c>
      <c r="N4" s="60" t="s">
        <v>15</v>
      </c>
      <c r="O4" s="10" t="s">
        <v>14</v>
      </c>
      <c r="P4" s="10" t="s">
        <v>13</v>
      </c>
      <c r="Q4" s="10" t="s">
        <v>12</v>
      </c>
      <c r="R4" s="10" t="s">
        <v>11</v>
      </c>
      <c r="S4" s="10" t="s">
        <v>10</v>
      </c>
      <c r="T4" s="82"/>
      <c r="U4" s="84"/>
      <c r="V4" s="11" t="s">
        <v>9</v>
      </c>
      <c r="W4" s="11" t="s">
        <v>8</v>
      </c>
      <c r="X4" s="11" t="s">
        <v>7</v>
      </c>
      <c r="Y4" s="11" t="s">
        <v>6</v>
      </c>
      <c r="Z4" s="11" t="s">
        <v>5</v>
      </c>
      <c r="AA4" s="11" t="s">
        <v>4</v>
      </c>
      <c r="AB4" s="12" t="s">
        <v>3</v>
      </c>
    </row>
    <row r="5" spans="1:28" s="4" customFormat="1" ht="23.25" customHeight="1" x14ac:dyDescent="0.2">
      <c r="A5" s="13">
        <v>42655</v>
      </c>
      <c r="B5" s="64" t="s">
        <v>41</v>
      </c>
      <c r="C5" s="14" t="s">
        <v>2</v>
      </c>
      <c r="D5" s="15">
        <v>187</v>
      </c>
      <c r="E5" s="15">
        <v>320</v>
      </c>
      <c r="F5" s="16">
        <v>56</v>
      </c>
      <c r="G5" s="16">
        <v>96</v>
      </c>
      <c r="H5" s="16">
        <v>168</v>
      </c>
      <c r="I5" s="17">
        <v>130</v>
      </c>
      <c r="J5" s="18">
        <v>36</v>
      </c>
      <c r="K5" s="18">
        <v>52</v>
      </c>
      <c r="L5" s="18">
        <v>42</v>
      </c>
      <c r="M5" s="61">
        <v>107</v>
      </c>
      <c r="N5" s="61">
        <v>23</v>
      </c>
      <c r="O5" s="20">
        <v>3</v>
      </c>
      <c r="P5" s="20">
        <v>5</v>
      </c>
      <c r="Q5" s="20">
        <v>9</v>
      </c>
      <c r="R5" s="20">
        <v>6</v>
      </c>
      <c r="S5" s="20">
        <v>0</v>
      </c>
      <c r="T5" s="19">
        <f>E5-I5</f>
        <v>190</v>
      </c>
      <c r="U5" s="21">
        <f>I5/E5</f>
        <v>0.40625</v>
      </c>
      <c r="V5" s="22">
        <v>36</v>
      </c>
      <c r="W5" s="22">
        <v>12</v>
      </c>
      <c r="X5" s="22">
        <v>89</v>
      </c>
      <c r="Y5" s="22">
        <v>5</v>
      </c>
      <c r="Z5" s="22">
        <v>16</v>
      </c>
      <c r="AA5" s="22">
        <v>21</v>
      </c>
      <c r="AB5" s="23">
        <v>11</v>
      </c>
    </row>
    <row r="6" spans="1:28" s="4" customFormat="1" ht="23.25" customHeight="1" x14ac:dyDescent="0.2">
      <c r="A6" s="24">
        <v>42656</v>
      </c>
      <c r="B6" s="65"/>
      <c r="C6" s="25" t="s">
        <v>1</v>
      </c>
      <c r="D6" s="26">
        <v>190</v>
      </c>
      <c r="E6" s="26">
        <v>540</v>
      </c>
      <c r="F6" s="27">
        <v>29</v>
      </c>
      <c r="G6" s="27">
        <v>26</v>
      </c>
      <c r="H6" s="27">
        <v>485</v>
      </c>
      <c r="I6" s="28">
        <v>420</v>
      </c>
      <c r="J6" s="29">
        <v>105</v>
      </c>
      <c r="K6" s="29">
        <v>63</v>
      </c>
      <c r="L6" s="29">
        <v>252</v>
      </c>
      <c r="M6" s="62">
        <v>390</v>
      </c>
      <c r="N6" s="62">
        <f t="shared" ref="N6:N7" si="0">I6-M6</f>
        <v>30</v>
      </c>
      <c r="O6" s="31">
        <v>9</v>
      </c>
      <c r="P6" s="31">
        <v>6</v>
      </c>
      <c r="Q6" s="31">
        <v>12</v>
      </c>
      <c r="R6" s="31">
        <v>0</v>
      </c>
      <c r="S6" s="31">
        <v>3</v>
      </c>
      <c r="T6" s="30">
        <f>E6-I6</f>
        <v>120</v>
      </c>
      <c r="U6" s="32">
        <f t="shared" ref="U6:U12" si="1">I6/E6</f>
        <v>0.77777777777777779</v>
      </c>
      <c r="V6" s="33">
        <v>13</v>
      </c>
      <c r="W6" s="33">
        <v>13</v>
      </c>
      <c r="X6" s="33">
        <v>46</v>
      </c>
      <c r="Y6" s="33">
        <v>8</v>
      </c>
      <c r="Z6" s="33">
        <v>25</v>
      </c>
      <c r="AA6" s="33">
        <v>6</v>
      </c>
      <c r="AB6" s="34">
        <v>9</v>
      </c>
    </row>
    <row r="7" spans="1:28" s="3" customFormat="1" ht="23.25" customHeight="1" x14ac:dyDescent="0.25">
      <c r="A7" s="35">
        <v>42657</v>
      </c>
      <c r="B7" s="65"/>
      <c r="C7" s="36" t="s">
        <v>36</v>
      </c>
      <c r="D7" s="37">
        <v>351</v>
      </c>
      <c r="E7" s="37">
        <v>750</v>
      </c>
      <c r="F7" s="38">
        <v>49</v>
      </c>
      <c r="G7" s="38">
        <v>45</v>
      </c>
      <c r="H7" s="38">
        <v>656</v>
      </c>
      <c r="I7" s="39">
        <v>506</v>
      </c>
      <c r="J7" s="40">
        <v>96</v>
      </c>
      <c r="K7" s="40">
        <v>125</v>
      </c>
      <c r="L7" s="40">
        <v>285</v>
      </c>
      <c r="M7" s="48">
        <v>453</v>
      </c>
      <c r="N7" s="48">
        <f t="shared" si="0"/>
        <v>53</v>
      </c>
      <c r="O7" s="42">
        <v>5</v>
      </c>
      <c r="P7" s="42">
        <v>13</v>
      </c>
      <c r="Q7" s="42">
        <v>26</v>
      </c>
      <c r="R7" s="42">
        <v>3</v>
      </c>
      <c r="S7" s="42">
        <v>6</v>
      </c>
      <c r="T7" s="41">
        <f>E7-I7</f>
        <v>244</v>
      </c>
      <c r="U7" s="43">
        <f t="shared" si="1"/>
        <v>0.67466666666666664</v>
      </c>
      <c r="V7" s="44">
        <v>27</v>
      </c>
      <c r="W7" s="44">
        <v>0</v>
      </c>
      <c r="X7" s="44">
        <v>125</v>
      </c>
      <c r="Y7" s="44">
        <v>5</v>
      </c>
      <c r="Z7" s="44">
        <v>68</v>
      </c>
      <c r="AA7" s="44">
        <v>12</v>
      </c>
      <c r="AB7" s="45">
        <v>7</v>
      </c>
    </row>
    <row r="8" spans="1:28" s="3" customFormat="1" ht="23.25" customHeight="1" thickBot="1" x14ac:dyDescent="0.3">
      <c r="A8" s="46"/>
      <c r="B8" s="66"/>
      <c r="C8" s="47" t="s">
        <v>0</v>
      </c>
      <c r="D8" s="48">
        <f>SUM(D5:D7)</f>
        <v>728</v>
      </c>
      <c r="E8" s="48">
        <f t="shared" ref="E8:AA8" si="2">SUM(E5:E7)</f>
        <v>1610</v>
      </c>
      <c r="F8" s="48">
        <f t="shared" si="2"/>
        <v>134</v>
      </c>
      <c r="G8" s="48">
        <f t="shared" si="2"/>
        <v>167</v>
      </c>
      <c r="H8" s="48">
        <f t="shared" si="2"/>
        <v>1309</v>
      </c>
      <c r="I8" s="49">
        <f t="shared" si="2"/>
        <v>1056</v>
      </c>
      <c r="J8" s="48">
        <f t="shared" si="2"/>
        <v>237</v>
      </c>
      <c r="K8" s="48">
        <f t="shared" si="2"/>
        <v>240</v>
      </c>
      <c r="L8" s="48">
        <f t="shared" si="2"/>
        <v>579</v>
      </c>
      <c r="M8" s="48">
        <f t="shared" si="2"/>
        <v>950</v>
      </c>
      <c r="N8" s="48">
        <f t="shared" si="2"/>
        <v>106</v>
      </c>
      <c r="O8" s="48">
        <f t="shared" si="2"/>
        <v>17</v>
      </c>
      <c r="P8" s="48">
        <f t="shared" si="2"/>
        <v>24</v>
      </c>
      <c r="Q8" s="48">
        <f t="shared" si="2"/>
        <v>47</v>
      </c>
      <c r="R8" s="48">
        <f t="shared" si="2"/>
        <v>9</v>
      </c>
      <c r="S8" s="48">
        <f t="shared" si="2"/>
        <v>9</v>
      </c>
      <c r="T8" s="48">
        <f>SUM(T5:T7)</f>
        <v>554</v>
      </c>
      <c r="U8" s="50">
        <f t="shared" si="1"/>
        <v>0.65590062111801239</v>
      </c>
      <c r="V8" s="48">
        <f t="shared" si="2"/>
        <v>76</v>
      </c>
      <c r="W8" s="48">
        <f t="shared" si="2"/>
        <v>25</v>
      </c>
      <c r="X8" s="48">
        <f t="shared" si="2"/>
        <v>260</v>
      </c>
      <c r="Y8" s="48">
        <f t="shared" si="2"/>
        <v>18</v>
      </c>
      <c r="Z8" s="48">
        <f t="shared" si="2"/>
        <v>109</v>
      </c>
      <c r="AA8" s="48">
        <f t="shared" si="2"/>
        <v>39</v>
      </c>
      <c r="AB8" s="51">
        <v>27</v>
      </c>
    </row>
    <row r="9" spans="1:28" s="4" customFormat="1" ht="23.25" customHeight="1" x14ac:dyDescent="0.2">
      <c r="A9" s="13">
        <v>42713</v>
      </c>
      <c r="B9" s="64" t="s">
        <v>40</v>
      </c>
      <c r="C9" s="14" t="s">
        <v>38</v>
      </c>
      <c r="D9" s="15">
        <v>210</v>
      </c>
      <c r="E9" s="15">
        <v>654</v>
      </c>
      <c r="F9" s="16">
        <v>34</v>
      </c>
      <c r="G9" s="16">
        <v>85</v>
      </c>
      <c r="H9" s="16">
        <v>535</v>
      </c>
      <c r="I9" s="17">
        <v>413</v>
      </c>
      <c r="J9" s="18">
        <v>110</v>
      </c>
      <c r="K9" s="18">
        <v>236</v>
      </c>
      <c r="L9" s="18">
        <v>67</v>
      </c>
      <c r="M9" s="61">
        <v>365</v>
      </c>
      <c r="N9" s="61">
        <f>I9-M9</f>
        <v>48</v>
      </c>
      <c r="O9" s="20">
        <v>6</v>
      </c>
      <c r="P9" s="20">
        <v>12</v>
      </c>
      <c r="Q9" s="20">
        <v>20</v>
      </c>
      <c r="R9" s="20">
        <v>5</v>
      </c>
      <c r="S9" s="20">
        <v>5</v>
      </c>
      <c r="T9" s="19">
        <f>E9-I9</f>
        <v>241</v>
      </c>
      <c r="U9" s="21">
        <f t="shared" si="1"/>
        <v>0.63149847094801226</v>
      </c>
      <c r="V9" s="22">
        <v>24</v>
      </c>
      <c r="W9" s="22">
        <v>55</v>
      </c>
      <c r="X9" s="22">
        <v>69</v>
      </c>
      <c r="Y9" s="22">
        <v>25</v>
      </c>
      <c r="Z9" s="22">
        <v>36</v>
      </c>
      <c r="AA9" s="22">
        <v>14</v>
      </c>
      <c r="AB9" s="23">
        <v>18</v>
      </c>
    </row>
    <row r="10" spans="1:28" s="4" customFormat="1" ht="23.25" customHeight="1" x14ac:dyDescent="0.2">
      <c r="A10" s="24">
        <v>42714</v>
      </c>
      <c r="B10" s="65"/>
      <c r="C10" s="52" t="s">
        <v>37</v>
      </c>
      <c r="D10" s="26">
        <v>352</v>
      </c>
      <c r="E10" s="26">
        <v>852</v>
      </c>
      <c r="F10" s="27">
        <v>85</v>
      </c>
      <c r="G10" s="27">
        <v>120</v>
      </c>
      <c r="H10" s="27">
        <v>647</v>
      </c>
      <c r="I10" s="28">
        <v>485</v>
      </c>
      <c r="J10" s="29">
        <v>50</v>
      </c>
      <c r="K10" s="29">
        <v>210</v>
      </c>
      <c r="L10" s="29">
        <v>225</v>
      </c>
      <c r="M10" s="62">
        <v>268</v>
      </c>
      <c r="N10" s="62">
        <f t="shared" ref="N10:N11" si="3">I10-M10</f>
        <v>217</v>
      </c>
      <c r="O10" s="31">
        <v>13</v>
      </c>
      <c r="P10" s="31">
        <v>58</v>
      </c>
      <c r="Q10" s="31">
        <v>106</v>
      </c>
      <c r="R10" s="31">
        <v>6</v>
      </c>
      <c r="S10" s="31">
        <v>34</v>
      </c>
      <c r="T10" s="30">
        <f t="shared" ref="T10:T11" si="4">E10-I10</f>
        <v>367</v>
      </c>
      <c r="U10" s="32">
        <f t="shared" si="1"/>
        <v>0.56924882629107976</v>
      </c>
      <c r="V10" s="33">
        <v>121</v>
      </c>
      <c r="W10" s="33">
        <v>25</v>
      </c>
      <c r="X10" s="33">
        <v>54</v>
      </c>
      <c r="Y10" s="33">
        <v>19</v>
      </c>
      <c r="Z10" s="33">
        <v>144</v>
      </c>
      <c r="AA10" s="33">
        <v>3</v>
      </c>
      <c r="AB10" s="34">
        <v>1</v>
      </c>
    </row>
    <row r="11" spans="1:28" s="3" customFormat="1" ht="23.25" customHeight="1" x14ac:dyDescent="0.25">
      <c r="A11" s="24">
        <v>42715</v>
      </c>
      <c r="B11" s="65"/>
      <c r="C11" s="52" t="s">
        <v>39</v>
      </c>
      <c r="D11" s="26">
        <v>112</v>
      </c>
      <c r="E11" s="26">
        <v>559</v>
      </c>
      <c r="F11" s="27">
        <v>36</v>
      </c>
      <c r="G11" s="27">
        <v>76</v>
      </c>
      <c r="H11" s="27">
        <v>447</v>
      </c>
      <c r="I11" s="28">
        <v>396</v>
      </c>
      <c r="J11" s="29">
        <v>113</v>
      </c>
      <c r="K11" s="29">
        <v>156</v>
      </c>
      <c r="L11" s="29">
        <v>127</v>
      </c>
      <c r="M11" s="62">
        <v>322</v>
      </c>
      <c r="N11" s="62">
        <f t="shared" si="3"/>
        <v>74</v>
      </c>
      <c r="O11" s="31">
        <v>78</v>
      </c>
      <c r="P11" s="31">
        <v>73</v>
      </c>
      <c r="Q11" s="31">
        <v>270</v>
      </c>
      <c r="R11" s="31">
        <v>271</v>
      </c>
      <c r="S11" s="31">
        <v>268</v>
      </c>
      <c r="T11" s="30">
        <f t="shared" si="4"/>
        <v>163</v>
      </c>
      <c r="U11" s="32">
        <f t="shared" si="1"/>
        <v>0.70840787119856885</v>
      </c>
      <c r="V11" s="53">
        <v>27</v>
      </c>
      <c r="W11" s="53">
        <v>8</v>
      </c>
      <c r="X11" s="53">
        <v>61</v>
      </c>
      <c r="Y11" s="53">
        <v>29</v>
      </c>
      <c r="Z11" s="53">
        <v>12</v>
      </c>
      <c r="AA11" s="53">
        <v>20</v>
      </c>
      <c r="AB11" s="54">
        <v>6</v>
      </c>
    </row>
    <row r="12" spans="1:28" s="3" customFormat="1" ht="23.25" customHeight="1" thickBot="1" x14ac:dyDescent="0.3">
      <c r="A12" s="46"/>
      <c r="B12" s="66"/>
      <c r="C12" s="55" t="s">
        <v>0</v>
      </c>
      <c r="D12" s="56">
        <f>SUM(D9:D11)</f>
        <v>674</v>
      </c>
      <c r="E12" s="56">
        <f t="shared" ref="E12:AA12" si="5">SUM(E9:E11)</f>
        <v>2065</v>
      </c>
      <c r="F12" s="56">
        <f t="shared" si="5"/>
        <v>155</v>
      </c>
      <c r="G12" s="56">
        <f t="shared" si="5"/>
        <v>281</v>
      </c>
      <c r="H12" s="56">
        <f t="shared" si="5"/>
        <v>1629</v>
      </c>
      <c r="I12" s="57">
        <f t="shared" si="5"/>
        <v>1294</v>
      </c>
      <c r="J12" s="56">
        <f t="shared" si="5"/>
        <v>273</v>
      </c>
      <c r="K12" s="56">
        <f t="shared" si="5"/>
        <v>602</v>
      </c>
      <c r="L12" s="56">
        <f t="shared" si="5"/>
        <v>419</v>
      </c>
      <c r="M12" s="56">
        <f t="shared" si="5"/>
        <v>955</v>
      </c>
      <c r="N12" s="56">
        <f t="shared" si="5"/>
        <v>339</v>
      </c>
      <c r="O12" s="56">
        <f t="shared" si="5"/>
        <v>97</v>
      </c>
      <c r="P12" s="56">
        <f t="shared" si="5"/>
        <v>143</v>
      </c>
      <c r="Q12" s="56">
        <f t="shared" si="5"/>
        <v>396</v>
      </c>
      <c r="R12" s="56">
        <f t="shared" si="5"/>
        <v>282</v>
      </c>
      <c r="S12" s="56">
        <f t="shared" si="5"/>
        <v>307</v>
      </c>
      <c r="T12" s="56">
        <f t="shared" si="5"/>
        <v>771</v>
      </c>
      <c r="U12" s="58">
        <f t="shared" si="1"/>
        <v>0.62663438256658599</v>
      </c>
      <c r="V12" s="56">
        <f t="shared" si="5"/>
        <v>172</v>
      </c>
      <c r="W12" s="56">
        <f t="shared" si="5"/>
        <v>88</v>
      </c>
      <c r="X12" s="56">
        <f t="shared" si="5"/>
        <v>184</v>
      </c>
      <c r="Y12" s="56">
        <f t="shared" si="5"/>
        <v>73</v>
      </c>
      <c r="Z12" s="56">
        <f t="shared" si="5"/>
        <v>192</v>
      </c>
      <c r="AA12" s="56">
        <f t="shared" si="5"/>
        <v>37</v>
      </c>
      <c r="AB12" s="59">
        <f>SUM(AB9:AB11)</f>
        <v>25</v>
      </c>
    </row>
    <row r="13" spans="1:28" x14ac:dyDescent="0.2">
      <c r="U13" s="1"/>
    </row>
  </sheetData>
  <mergeCells count="16">
    <mergeCell ref="A3:A4"/>
    <mergeCell ref="B3:B4"/>
    <mergeCell ref="C3:C4"/>
    <mergeCell ref="D3:D4"/>
    <mergeCell ref="E3:E4"/>
    <mergeCell ref="B5:B8"/>
    <mergeCell ref="B9:B12"/>
    <mergeCell ref="O3:S3"/>
    <mergeCell ref="M3:N3"/>
    <mergeCell ref="V2:AB2"/>
    <mergeCell ref="F3:H3"/>
    <mergeCell ref="I3:I4"/>
    <mergeCell ref="J3:L3"/>
    <mergeCell ref="T3:T4"/>
    <mergeCell ref="U3:U4"/>
    <mergeCell ref="V3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تنسييق البيانات</vt:lpstr>
      <vt:lpstr>تنسيق البيانات - نهائي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2024-05-03T20:22:59Z</dcterms:modified>
</cp:coreProperties>
</file>