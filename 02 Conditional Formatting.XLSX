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DAEA0DD-3EBE-4DEF-93B4-9F7492CF1745}" xr6:coauthVersionLast="36" xr6:coauthVersionMax="36" xr10:uidLastSave="{00000000-0000-0000-0000-000000000000}"/>
  <bookViews>
    <workbookView xWindow="0" yWindow="0" windowWidth="20490" windowHeight="7005" xr2:uid="{4D9C3D84-3894-4DF5-9084-82BE7E3E544D}"/>
  </bookViews>
  <sheets>
    <sheet name="توزيع سلل صحية" sheetId="3" r:id="rId1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7" i="3" l="1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7" i="3"/>
  <c r="H117" i="3" s="1"/>
  <c r="G116" i="3"/>
  <c r="H116" i="3" s="1"/>
  <c r="G115" i="3"/>
  <c r="H115" i="3" s="1"/>
  <c r="G114" i="3"/>
  <c r="H114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100" i="3"/>
  <c r="H100" i="3" s="1"/>
  <c r="G99" i="3"/>
  <c r="H99" i="3" s="1"/>
  <c r="G98" i="3"/>
  <c r="H98" i="3" s="1"/>
  <c r="G97" i="3"/>
  <c r="H97" i="3" s="1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</calcChain>
</file>

<file path=xl/sharedStrings.xml><?xml version="1.0" encoding="utf-8"?>
<sst xmlns="http://schemas.openxmlformats.org/spreadsheetml/2006/main" count="512" uniqueCount="266">
  <si>
    <t>توزيع سلل صحية</t>
  </si>
  <si>
    <t>الكود</t>
  </si>
  <si>
    <t>المحافظة</t>
  </si>
  <si>
    <t>المنطقة</t>
  </si>
  <si>
    <t>التاريخ</t>
  </si>
  <si>
    <t>المستهدفين</t>
  </si>
  <si>
    <t>المستحقين</t>
  </si>
  <si>
    <t>التغطية</t>
  </si>
  <si>
    <t>النوع</t>
  </si>
  <si>
    <t>تقييم النوع</t>
  </si>
  <si>
    <t>المبلغ</t>
  </si>
  <si>
    <t>SY020401</t>
  </si>
  <si>
    <t>حلب</t>
  </si>
  <si>
    <t>اخترين</t>
  </si>
  <si>
    <t>B</t>
  </si>
  <si>
    <t>SY020405</t>
  </si>
  <si>
    <t>صوران</t>
  </si>
  <si>
    <t>D</t>
  </si>
  <si>
    <t>SY020400</t>
  </si>
  <si>
    <t>مركز اعزاز</t>
  </si>
  <si>
    <t>SY020403</t>
  </si>
  <si>
    <t>مارع</t>
  </si>
  <si>
    <t>SY020402</t>
  </si>
  <si>
    <t>تل رفعت</t>
  </si>
  <si>
    <t>SY020404</t>
  </si>
  <si>
    <t>نبل</t>
  </si>
  <si>
    <t>A</t>
  </si>
  <si>
    <t>SY020203</t>
  </si>
  <si>
    <t>الراعي</t>
  </si>
  <si>
    <t>SY020206</t>
  </si>
  <si>
    <t>عريمة</t>
  </si>
  <si>
    <t>SY020200</t>
  </si>
  <si>
    <t>مركز الباب</t>
  </si>
  <si>
    <t>SY020201</t>
  </si>
  <si>
    <t>تادف</t>
  </si>
  <si>
    <t>SY020205</t>
  </si>
  <si>
    <t>رسم حرمل الامام</t>
  </si>
  <si>
    <t>SY020202</t>
  </si>
  <si>
    <t>دير حافر</t>
  </si>
  <si>
    <t>C</t>
  </si>
  <si>
    <t>SY020204</t>
  </si>
  <si>
    <t>كويرس شرقي</t>
  </si>
  <si>
    <t>SY020700</t>
  </si>
  <si>
    <t>مركز السفيرة</t>
  </si>
  <si>
    <t>بنان</t>
  </si>
  <si>
    <t>SY020703</t>
  </si>
  <si>
    <t>الحاجب</t>
  </si>
  <si>
    <t>SY020701</t>
  </si>
  <si>
    <t>خناصر</t>
  </si>
  <si>
    <t>SY020002</t>
  </si>
  <si>
    <t>تل الضمان</t>
  </si>
  <si>
    <t>SY020006</t>
  </si>
  <si>
    <t>الحاضر</t>
  </si>
  <si>
    <t>SY020005</t>
  </si>
  <si>
    <t>الزربة</t>
  </si>
  <si>
    <t>SY020004</t>
  </si>
  <si>
    <t>دارة عزة</t>
  </si>
  <si>
    <t>SY020001</t>
  </si>
  <si>
    <t>أتارب</t>
  </si>
  <si>
    <t>SY020003</t>
  </si>
  <si>
    <t>حريتان</t>
  </si>
  <si>
    <t>SY020000</t>
  </si>
  <si>
    <t>مركز جبل سمعان</t>
  </si>
  <si>
    <t>SY020800</t>
  </si>
  <si>
    <t>مركز جرابلس</t>
  </si>
  <si>
    <t>SY020801</t>
  </si>
  <si>
    <t>غندورة</t>
  </si>
  <si>
    <t>SY020301</t>
  </si>
  <si>
    <t>بلبل</t>
  </si>
  <si>
    <t>SY020303</t>
  </si>
  <si>
    <t>راجو</t>
  </si>
  <si>
    <t>SY020306</t>
  </si>
  <si>
    <t>معبطلي</t>
  </si>
  <si>
    <t>SY020305</t>
  </si>
  <si>
    <t>شيخ الحديد</t>
  </si>
  <si>
    <t>SY020302</t>
  </si>
  <si>
    <t>جنديرس</t>
  </si>
  <si>
    <t>SY020304</t>
  </si>
  <si>
    <t>شران</t>
  </si>
  <si>
    <t>SY020300</t>
  </si>
  <si>
    <t>مركز عفرين</t>
  </si>
  <si>
    <t>SY020601</t>
  </si>
  <si>
    <t>شيوخ تحتاني</t>
  </si>
  <si>
    <t>SY020600</t>
  </si>
  <si>
    <t>مركز عين العرب</t>
  </si>
  <si>
    <t>SY020602</t>
  </si>
  <si>
    <t>صرين</t>
  </si>
  <si>
    <t>SY020500</t>
  </si>
  <si>
    <t>مركز منبج</t>
  </si>
  <si>
    <t>SY020501</t>
  </si>
  <si>
    <t>أبو قلقل</t>
  </si>
  <si>
    <t>SY020502</t>
  </si>
  <si>
    <t>الخفسة</t>
  </si>
  <si>
    <t>SY020503</t>
  </si>
  <si>
    <t>مسكنة</t>
  </si>
  <si>
    <t>SY010000</t>
  </si>
  <si>
    <t>مدينة دمشق</t>
  </si>
  <si>
    <t>SY120300</t>
  </si>
  <si>
    <t>درعا</t>
  </si>
  <si>
    <t>مركز ازرع</t>
  </si>
  <si>
    <t>SY120301</t>
  </si>
  <si>
    <t>جاسم</t>
  </si>
  <si>
    <t>SY120302</t>
  </si>
  <si>
    <t>الحراك</t>
  </si>
  <si>
    <t>SY120303</t>
  </si>
  <si>
    <t>نوى</t>
  </si>
  <si>
    <t>الشيخ مسكين</t>
  </si>
  <si>
    <t>SY120305</t>
  </si>
  <si>
    <t>تسيل</t>
  </si>
  <si>
    <t>SY120200</t>
  </si>
  <si>
    <t>مركز الصنمين</t>
  </si>
  <si>
    <t>SY120201</t>
  </si>
  <si>
    <t>المسمية</t>
  </si>
  <si>
    <t>SY120202</t>
  </si>
  <si>
    <t>غباغب</t>
  </si>
  <si>
    <t>SY120000</t>
  </si>
  <si>
    <t>مركز درعا</t>
  </si>
  <si>
    <t>SY120001</t>
  </si>
  <si>
    <t>بصرى الشام</t>
  </si>
  <si>
    <t>SY120002</t>
  </si>
  <si>
    <t>خربة غزالة</t>
  </si>
  <si>
    <t>SY120003</t>
  </si>
  <si>
    <t>الشجرة</t>
  </si>
  <si>
    <t>SY120004</t>
  </si>
  <si>
    <t>داعل</t>
  </si>
  <si>
    <t>SY120005</t>
  </si>
  <si>
    <t>مزيريب</t>
  </si>
  <si>
    <t>SY120006</t>
  </si>
  <si>
    <t>الجيزة</t>
  </si>
  <si>
    <t>SY120007</t>
  </si>
  <si>
    <t>المسيفرة</t>
  </si>
  <si>
    <t>SY050200</t>
  </si>
  <si>
    <t>حماة</t>
  </si>
  <si>
    <t>مركز السقيلبية</t>
  </si>
  <si>
    <t>SY050201</t>
  </si>
  <si>
    <t>تلسلحب</t>
  </si>
  <si>
    <t>SY050202</t>
  </si>
  <si>
    <t>الزيارة</t>
  </si>
  <si>
    <t>SY050203</t>
  </si>
  <si>
    <t>شطحة</t>
  </si>
  <si>
    <t>SY050204</t>
  </si>
  <si>
    <t>قلعة المضيق</t>
  </si>
  <si>
    <t>SY050300</t>
  </si>
  <si>
    <t>مركز السلمية</t>
  </si>
  <si>
    <t>SY050301</t>
  </si>
  <si>
    <t>بري شرقي</t>
  </si>
  <si>
    <t>SY050302</t>
  </si>
  <si>
    <t>السعن</t>
  </si>
  <si>
    <t>SY050304</t>
  </si>
  <si>
    <t>عقيربات</t>
  </si>
  <si>
    <t>SY050500</t>
  </si>
  <si>
    <t>مركز محردة</t>
  </si>
  <si>
    <t>SY050501</t>
  </si>
  <si>
    <t>كفرزيتا</t>
  </si>
  <si>
    <t>SY050502</t>
  </si>
  <si>
    <t>كرناز</t>
  </si>
  <si>
    <t>SY050100</t>
  </si>
  <si>
    <t>مركز حماة</t>
  </si>
  <si>
    <t>SY050101</t>
  </si>
  <si>
    <t>SY050102</t>
  </si>
  <si>
    <t>حربنفسه</t>
  </si>
  <si>
    <t>SY050103</t>
  </si>
  <si>
    <t>الحمراء</t>
  </si>
  <si>
    <t>SY050400</t>
  </si>
  <si>
    <t>مركز مصياف</t>
  </si>
  <si>
    <t>SY050401</t>
  </si>
  <si>
    <t>جب رملة</t>
  </si>
  <si>
    <t>SY050402</t>
  </si>
  <si>
    <t>عوج</t>
  </si>
  <si>
    <t>SY050404</t>
  </si>
  <si>
    <t>وادي العيون</t>
  </si>
  <si>
    <t>SY050403</t>
  </si>
  <si>
    <t>عين حلاقيم</t>
  </si>
  <si>
    <t>SY050303</t>
  </si>
  <si>
    <t>صبورة</t>
  </si>
  <si>
    <t>SY040400</t>
  </si>
  <si>
    <t>حمص</t>
  </si>
  <si>
    <t>مركز الرستن</t>
  </si>
  <si>
    <t>SY040401</t>
  </si>
  <si>
    <t>تلبيسة</t>
  </si>
  <si>
    <t>SY040200</t>
  </si>
  <si>
    <t>مركز القصير</t>
  </si>
  <si>
    <t>SY040600</t>
  </si>
  <si>
    <t>المخرم</t>
  </si>
  <si>
    <t>SY040601</t>
  </si>
  <si>
    <t>جب الجراح</t>
  </si>
  <si>
    <t>SY040500</t>
  </si>
  <si>
    <t>مركز تدمر</t>
  </si>
  <si>
    <t>SY040501</t>
  </si>
  <si>
    <t>السخنة</t>
  </si>
  <si>
    <t>SY040300</t>
  </si>
  <si>
    <t>مركز تلكلخ</t>
  </si>
  <si>
    <t>SY040301</t>
  </si>
  <si>
    <t>حديدة</t>
  </si>
  <si>
    <t>SY040304</t>
  </si>
  <si>
    <t>الحواش</t>
  </si>
  <si>
    <t>SY040303</t>
  </si>
  <si>
    <t>الناصرة</t>
  </si>
  <si>
    <t>SY040100</t>
  </si>
  <si>
    <t>مركز حمص</t>
  </si>
  <si>
    <t>SY040101</t>
  </si>
  <si>
    <t>تلدو</t>
  </si>
  <si>
    <t>SY040102</t>
  </si>
  <si>
    <t>خربة تين نور</t>
  </si>
  <si>
    <t>SY040103</t>
  </si>
  <si>
    <t>عين النسر</t>
  </si>
  <si>
    <t>SY040104</t>
  </si>
  <si>
    <t>الفرقلس</t>
  </si>
  <si>
    <t>SY040105</t>
  </si>
  <si>
    <t>الرقاما</t>
  </si>
  <si>
    <t>SY040107</t>
  </si>
  <si>
    <t>مهين</t>
  </si>
  <si>
    <t>SY040109</t>
  </si>
  <si>
    <t>صدد</t>
  </si>
  <si>
    <t>SY040106</t>
  </si>
  <si>
    <t>القريتين</t>
  </si>
  <si>
    <t>SY040110</t>
  </si>
  <si>
    <t>القبو</t>
  </si>
  <si>
    <t>SY040111</t>
  </si>
  <si>
    <t>شين</t>
  </si>
  <si>
    <t>SY040108</t>
  </si>
  <si>
    <t>حسياء</t>
  </si>
  <si>
    <t>SY060303</t>
  </si>
  <si>
    <t>اللاذقية</t>
  </si>
  <si>
    <t>كنسبا</t>
  </si>
  <si>
    <t>SY060301</t>
  </si>
  <si>
    <t>صلنفة</t>
  </si>
  <si>
    <t>SY060304</t>
  </si>
  <si>
    <t>مزيرعة</t>
  </si>
  <si>
    <t>SY060302</t>
  </si>
  <si>
    <t>عين التينة</t>
  </si>
  <si>
    <t>SY060300</t>
  </si>
  <si>
    <t>مركزالحفة</t>
  </si>
  <si>
    <t>SY060402</t>
  </si>
  <si>
    <t>الفاخورة</t>
  </si>
  <si>
    <t>SY060403</t>
  </si>
  <si>
    <t>جوبة برغال</t>
  </si>
  <si>
    <t>SY060400</t>
  </si>
  <si>
    <t>مركز القرداحة</t>
  </si>
  <si>
    <t>SY060401</t>
  </si>
  <si>
    <t>حرف المسيترة</t>
  </si>
  <si>
    <t>SY060200</t>
  </si>
  <si>
    <t>مركز جبلة</t>
  </si>
  <si>
    <t>SY060202</t>
  </si>
  <si>
    <t>القطيلبية</t>
  </si>
  <si>
    <t>SY060203</t>
  </si>
  <si>
    <t>عين شقاق</t>
  </si>
  <si>
    <t>SY060204</t>
  </si>
  <si>
    <t>دالية</t>
  </si>
  <si>
    <t>SY060205</t>
  </si>
  <si>
    <t>بيت ياشوط</t>
  </si>
  <si>
    <t>SY060002</t>
  </si>
  <si>
    <t>ربيعة</t>
  </si>
  <si>
    <t>SY060001</t>
  </si>
  <si>
    <t>البهلولية</t>
  </si>
  <si>
    <t>SY060003</t>
  </si>
  <si>
    <t>عين البيضا</t>
  </si>
  <si>
    <t>SY060005</t>
  </si>
  <si>
    <t>كسب</t>
  </si>
  <si>
    <t>SY060006</t>
  </si>
  <si>
    <t>هنادي</t>
  </si>
  <si>
    <t>SY060004</t>
  </si>
  <si>
    <t>قسطل معاف</t>
  </si>
  <si>
    <t>SY060000</t>
  </si>
  <si>
    <t>مركز اللاذقية</t>
  </si>
  <si>
    <t>نوع التغطية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</si>
</sst>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5" fillId="0" borderId="0" xfId="0" applyFont="1"/>
    <xf numFmtId="0" fontId="6" fillId="2" borderId="1" xfId="3" applyFont="1" applyFill="1" applyBorder="1"/>
    <xf numFmtId="0" fontId="6" fillId="2" borderId="1" xfId="3" applyFont="1" applyFill="1" applyBorder="1" applyAlignment="1">
      <alignment horizontal="center"/>
    </xf>
    <xf numFmtId="0" fontId="7" fillId="0" borderId="0" xfId="3" applyFont="1"/>
    <xf numFmtId="14" fontId="7" fillId="0" borderId="0" xfId="3" applyNumberFormat="1" applyFont="1"/>
    <xf numFmtId="0" fontId="5" fillId="0" borderId="0" xfId="4" applyFont="1"/>
    <xf numFmtId="164" fontId="5" fillId="0" borderId="0" xfId="5" applyNumberFormat="1" applyFont="1" applyAlignment="1">
      <alignment horizontal="center" vertical="center"/>
    </xf>
    <xf numFmtId="0" fontId="5" fillId="0" borderId="0" xfId="4" applyFont="1" applyAlignment="1">
      <alignment horizontal="center"/>
    </xf>
    <xf numFmtId="37" fontId="5" fillId="0" borderId="0" xfId="1" applyNumberFormat="1" applyFont="1" applyAlignment="1">
      <alignment horizontal="center"/>
    </xf>
    <xf numFmtId="0" fontId="4" fillId="3" borderId="1" xfId="3" applyFont="1" applyFill="1" applyBorder="1" applyAlignment="1">
      <alignment horizontal="center" vertical="center"/>
    </xf>
  </cellXfs>
  <cellStyles count="7">
    <cellStyle name="Comma" xfId="1" builtinId="3"/>
    <cellStyle name="Comma 2" xfId="6" xr:uid="{59504CC9-9330-47BD-B482-751E09BEA207}"/>
    <cellStyle name="Normal" xfId="0" builtinId="0"/>
    <cellStyle name="Normal 2 2" xfId="2" xr:uid="{68C2E313-4FD3-4B58-86B6-F79798C9A75B}"/>
    <cellStyle name="Normal 3 2" xfId="3" xr:uid="{369B502C-A173-4986-A563-BC4AD8B65EC9}"/>
    <cellStyle name="Normal 4 3" xfId="4" xr:uid="{D8C50F8F-DF7B-41E5-B514-E4D4E547778B}"/>
    <cellStyle name="Percent 2" xfId="5" xr:uid="{4689D894-35D9-4208-BCB3-096BA67BC23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A44F-2BF6-4422-BF11-1EE9EA1F6206}">
  <sheetPr>
    <tabColor theme="7" tint="-0.249977111117893"/>
  </sheetPr>
  <dimension ref="A1:N127"/>
  <sheetViews>
    <sheetView tabSelected="1" zoomScale="145" zoomScaleNormal="145" workbookViewId="0">
      <selection sqref="A1:K1"/>
    </sheetView>
  </sheetViews>
  <sheetFormatPr defaultColWidth="9" defaultRowHeight="15" x14ac:dyDescent="0.25"/>
  <cols>
    <col min="1" max="1" width="11.28515625" style="1" customWidth="1"/>
    <col min="2" max="2" width="9" style="1"/>
    <col min="3" max="3" width="18.85546875" style="1" customWidth="1"/>
    <col min="4" max="4" width="12.7109375" style="1" customWidth="1"/>
    <col min="5" max="5" width="11.85546875" style="1" customWidth="1"/>
    <col min="6" max="13" width="9" style="1"/>
    <col min="14" max="15" width="14.85546875" style="1" bestFit="1" customWidth="1"/>
    <col min="16" max="16384" width="9" style="1"/>
  </cols>
  <sheetData>
    <row r="1" spans="1:14" ht="20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265</v>
      </c>
      <c r="I2" s="3" t="s">
        <v>8</v>
      </c>
      <c r="J2" s="3" t="s">
        <v>9</v>
      </c>
      <c r="K2" s="3" t="s">
        <v>10</v>
      </c>
    </row>
    <row r="3" spans="1:14" x14ac:dyDescent="0.25">
      <c r="A3" s="4" t="s">
        <v>11</v>
      </c>
      <c r="B3" s="4" t="s">
        <v>12</v>
      </c>
      <c r="C3" s="4" t="s">
        <v>13</v>
      </c>
      <c r="D3" s="5">
        <v>42593</v>
      </c>
      <c r="E3" s="6">
        <v>14681</v>
      </c>
      <c r="F3" s="6">
        <v>14361</v>
      </c>
      <c r="G3" s="7">
        <f t="shared" ref="G3:G66" si="0">F3/E3</f>
        <v>0.97820311967849605</v>
      </c>
      <c r="H3" s="7" t="str">
        <f>IF(G3&gt;=95%,"High","low")</f>
        <v>High</v>
      </c>
      <c r="I3" s="8" t="s">
        <v>14</v>
      </c>
      <c r="J3" s="9">
        <v>4</v>
      </c>
      <c r="K3" s="9">
        <v>1290</v>
      </c>
      <c r="M3"/>
      <c r="N3"/>
    </row>
    <row r="4" spans="1:14" x14ac:dyDescent="0.25">
      <c r="A4" s="4" t="s">
        <v>15</v>
      </c>
      <c r="B4" s="4" t="s">
        <v>12</v>
      </c>
      <c r="C4" s="4" t="s">
        <v>16</v>
      </c>
      <c r="D4" s="5">
        <v>42593</v>
      </c>
      <c r="E4" s="6">
        <v>16426</v>
      </c>
      <c r="F4" s="6">
        <v>16103</v>
      </c>
      <c r="G4" s="7">
        <f t="shared" si="0"/>
        <v>0.98033605259953727</v>
      </c>
      <c r="H4" s="7" t="str">
        <f t="shared" ref="H4:H67" si="1">IF(G4&gt;=95%,"High","low")</f>
        <v>High</v>
      </c>
      <c r="I4" s="8" t="s">
        <v>17</v>
      </c>
      <c r="J4" s="9">
        <v>4</v>
      </c>
      <c r="K4" s="9">
        <v>1040</v>
      </c>
    </row>
    <row r="5" spans="1:14" x14ac:dyDescent="0.25">
      <c r="A5" s="4" t="s">
        <v>18</v>
      </c>
      <c r="B5" s="4" t="s">
        <v>12</v>
      </c>
      <c r="C5" s="4" t="s">
        <v>19</v>
      </c>
      <c r="D5" s="5">
        <v>42593</v>
      </c>
      <c r="E5" s="6">
        <v>17867</v>
      </c>
      <c r="F5" s="6">
        <v>17600</v>
      </c>
      <c r="G5" s="7">
        <f t="shared" si="0"/>
        <v>0.98505624895057931</v>
      </c>
      <c r="H5" s="7" t="str">
        <f t="shared" si="1"/>
        <v>High</v>
      </c>
      <c r="I5" s="8" t="s">
        <v>17</v>
      </c>
      <c r="J5" s="9">
        <v>4</v>
      </c>
      <c r="K5" s="9">
        <v>1698</v>
      </c>
    </row>
    <row r="6" spans="1:14" x14ac:dyDescent="0.25">
      <c r="A6" s="4" t="s">
        <v>20</v>
      </c>
      <c r="B6" s="4" t="s">
        <v>12</v>
      </c>
      <c r="C6" s="4" t="s">
        <v>21</v>
      </c>
      <c r="D6" s="5">
        <v>42593</v>
      </c>
      <c r="E6" s="6">
        <v>3194</v>
      </c>
      <c r="F6" s="6">
        <v>3016</v>
      </c>
      <c r="G6" s="7">
        <f t="shared" si="0"/>
        <v>0.94427050720100192</v>
      </c>
      <c r="H6" s="7" t="str">
        <f t="shared" si="1"/>
        <v>low</v>
      </c>
      <c r="I6" s="8" t="s">
        <v>14</v>
      </c>
      <c r="J6" s="9">
        <v>1</v>
      </c>
      <c r="K6" s="9">
        <v>1016</v>
      </c>
    </row>
    <row r="7" spans="1:14" x14ac:dyDescent="0.25">
      <c r="A7" s="4" t="s">
        <v>22</v>
      </c>
      <c r="B7" s="4" t="s">
        <v>12</v>
      </c>
      <c r="C7" s="4" t="s">
        <v>23</v>
      </c>
      <c r="D7" s="5">
        <v>42593</v>
      </c>
      <c r="E7" s="6">
        <v>14863</v>
      </c>
      <c r="F7" s="6">
        <v>14686</v>
      </c>
      <c r="G7" s="7">
        <f t="shared" si="0"/>
        <v>0.98809123326380943</v>
      </c>
      <c r="H7" s="7" t="str">
        <f t="shared" si="1"/>
        <v>High</v>
      </c>
      <c r="I7" s="8" t="s">
        <v>17</v>
      </c>
      <c r="J7" s="9">
        <v>3</v>
      </c>
      <c r="K7" s="9">
        <v>1490</v>
      </c>
    </row>
    <row r="8" spans="1:14" x14ac:dyDescent="0.25">
      <c r="A8" s="4" t="s">
        <v>24</v>
      </c>
      <c r="B8" s="4" t="s">
        <v>12</v>
      </c>
      <c r="C8" s="4" t="s">
        <v>25</v>
      </c>
      <c r="D8" s="5">
        <v>42593</v>
      </c>
      <c r="E8" s="6">
        <v>3921</v>
      </c>
      <c r="F8" s="6">
        <v>3765</v>
      </c>
      <c r="G8" s="7">
        <f t="shared" si="0"/>
        <v>0.96021423106350423</v>
      </c>
      <c r="H8" s="7" t="str">
        <f t="shared" si="1"/>
        <v>High</v>
      </c>
      <c r="I8" s="8" t="s">
        <v>26</v>
      </c>
      <c r="J8" s="9">
        <v>1</v>
      </c>
      <c r="K8" s="9">
        <v>1073</v>
      </c>
    </row>
    <row r="9" spans="1:14" x14ac:dyDescent="0.25">
      <c r="A9" s="4" t="s">
        <v>27</v>
      </c>
      <c r="B9" s="4" t="s">
        <v>12</v>
      </c>
      <c r="C9" s="4" t="s">
        <v>28</v>
      </c>
      <c r="D9" s="5">
        <v>42593</v>
      </c>
      <c r="E9" s="6">
        <v>18504</v>
      </c>
      <c r="F9" s="6">
        <v>18370</v>
      </c>
      <c r="G9" s="7">
        <f t="shared" si="0"/>
        <v>0.99275832252485952</v>
      </c>
      <c r="H9" s="7" t="str">
        <f t="shared" si="1"/>
        <v>High</v>
      </c>
      <c r="I9" s="8" t="s">
        <v>14</v>
      </c>
      <c r="J9" s="9">
        <v>1</v>
      </c>
      <c r="K9" s="9">
        <v>1765</v>
      </c>
    </row>
    <row r="10" spans="1:14" x14ac:dyDescent="0.25">
      <c r="A10" s="4" t="s">
        <v>29</v>
      </c>
      <c r="B10" s="4" t="s">
        <v>12</v>
      </c>
      <c r="C10" s="4" t="s">
        <v>30</v>
      </c>
      <c r="D10" s="5">
        <v>42593</v>
      </c>
      <c r="E10" s="6">
        <v>7959</v>
      </c>
      <c r="F10" s="6">
        <v>7771</v>
      </c>
      <c r="G10" s="7">
        <f t="shared" si="0"/>
        <v>0.97637894207815057</v>
      </c>
      <c r="H10" s="7" t="str">
        <f t="shared" si="1"/>
        <v>High</v>
      </c>
      <c r="I10" s="8" t="s">
        <v>14</v>
      </c>
      <c r="J10" s="9">
        <v>3</v>
      </c>
      <c r="K10" s="9">
        <v>1942</v>
      </c>
    </row>
    <row r="11" spans="1:14" x14ac:dyDescent="0.25">
      <c r="A11" s="4" t="s">
        <v>31</v>
      </c>
      <c r="B11" s="4" t="s">
        <v>12</v>
      </c>
      <c r="C11" s="4" t="s">
        <v>32</v>
      </c>
      <c r="D11" s="5">
        <v>42593</v>
      </c>
      <c r="E11" s="6">
        <v>10633</v>
      </c>
      <c r="F11" s="6">
        <v>10531</v>
      </c>
      <c r="G11" s="7">
        <f t="shared" si="0"/>
        <v>0.99040722279695292</v>
      </c>
      <c r="H11" s="7" t="str">
        <f t="shared" si="1"/>
        <v>High</v>
      </c>
      <c r="I11" s="8" t="s">
        <v>17</v>
      </c>
      <c r="J11" s="9">
        <v>1</v>
      </c>
      <c r="K11" s="9">
        <v>1386</v>
      </c>
    </row>
    <row r="12" spans="1:14" x14ac:dyDescent="0.25">
      <c r="A12" s="4" t="s">
        <v>33</v>
      </c>
      <c r="B12" s="4" t="s">
        <v>12</v>
      </c>
      <c r="C12" s="4" t="s">
        <v>34</v>
      </c>
      <c r="D12" s="5">
        <v>42593</v>
      </c>
      <c r="E12" s="6">
        <v>6087</v>
      </c>
      <c r="F12" s="6">
        <v>5714</v>
      </c>
      <c r="G12" s="7">
        <f t="shared" si="0"/>
        <v>0.93872186627238374</v>
      </c>
      <c r="H12" s="7" t="str">
        <f t="shared" si="1"/>
        <v>low</v>
      </c>
      <c r="I12" s="8" t="s">
        <v>26</v>
      </c>
      <c r="J12" s="9">
        <v>5</v>
      </c>
      <c r="K12" s="9">
        <v>1675</v>
      </c>
    </row>
    <row r="13" spans="1:14" x14ac:dyDescent="0.25">
      <c r="A13" s="4" t="s">
        <v>35</v>
      </c>
      <c r="B13" s="4" t="s">
        <v>12</v>
      </c>
      <c r="C13" s="4" t="s">
        <v>36</v>
      </c>
      <c r="D13" s="5">
        <v>42593</v>
      </c>
      <c r="E13" s="6">
        <v>12948</v>
      </c>
      <c r="F13" s="6">
        <v>12746</v>
      </c>
      <c r="G13" s="7">
        <f t="shared" si="0"/>
        <v>0.98439913500154463</v>
      </c>
      <c r="H13" s="7" t="str">
        <f t="shared" si="1"/>
        <v>High</v>
      </c>
      <c r="I13" s="8" t="s">
        <v>14</v>
      </c>
      <c r="J13" s="9">
        <v>3</v>
      </c>
      <c r="K13" s="9">
        <v>1763</v>
      </c>
    </row>
    <row r="14" spans="1:14" x14ac:dyDescent="0.25">
      <c r="A14" s="4" t="s">
        <v>37</v>
      </c>
      <c r="B14" s="4" t="s">
        <v>12</v>
      </c>
      <c r="C14" s="4" t="s">
        <v>38</v>
      </c>
      <c r="D14" s="5">
        <v>42593</v>
      </c>
      <c r="E14" s="6">
        <v>12080</v>
      </c>
      <c r="F14" s="6">
        <v>11503</v>
      </c>
      <c r="G14" s="7">
        <f t="shared" si="0"/>
        <v>0.9522350993377483</v>
      </c>
      <c r="H14" s="7" t="str">
        <f t="shared" si="1"/>
        <v>High</v>
      </c>
      <c r="I14" s="8" t="s">
        <v>39</v>
      </c>
      <c r="J14" s="9">
        <v>5</v>
      </c>
      <c r="K14" s="9">
        <v>1746</v>
      </c>
    </row>
    <row r="15" spans="1:14" x14ac:dyDescent="0.25">
      <c r="A15" s="4" t="s">
        <v>40</v>
      </c>
      <c r="B15" s="4" t="s">
        <v>12</v>
      </c>
      <c r="C15" s="4" t="s">
        <v>41</v>
      </c>
      <c r="D15" s="5">
        <v>42593</v>
      </c>
      <c r="E15" s="6">
        <v>18678</v>
      </c>
      <c r="F15" s="6">
        <v>18538</v>
      </c>
      <c r="G15" s="7">
        <f t="shared" si="0"/>
        <v>0.99250455080843769</v>
      </c>
      <c r="H15" s="7" t="str">
        <f t="shared" si="1"/>
        <v>High</v>
      </c>
      <c r="I15" s="8" t="s">
        <v>26</v>
      </c>
      <c r="J15" s="9">
        <v>4</v>
      </c>
      <c r="K15" s="9">
        <v>1760</v>
      </c>
    </row>
    <row r="16" spans="1:14" x14ac:dyDescent="0.25">
      <c r="A16" s="4" t="s">
        <v>42</v>
      </c>
      <c r="B16" s="4" t="s">
        <v>12</v>
      </c>
      <c r="C16" s="4" t="s">
        <v>43</v>
      </c>
      <c r="D16" s="5">
        <v>42593</v>
      </c>
      <c r="E16" s="6">
        <v>10524</v>
      </c>
      <c r="F16" s="6">
        <v>10025</v>
      </c>
      <c r="G16" s="7">
        <f t="shared" si="0"/>
        <v>0.95258456860509311</v>
      </c>
      <c r="H16" s="7" t="str">
        <f t="shared" si="1"/>
        <v>High</v>
      </c>
      <c r="I16" s="8" t="s">
        <v>14</v>
      </c>
      <c r="J16" s="9">
        <v>1</v>
      </c>
      <c r="K16" s="9">
        <v>1752</v>
      </c>
    </row>
    <row r="17" spans="1:11" x14ac:dyDescent="0.25">
      <c r="A17" s="4" t="s">
        <v>11</v>
      </c>
      <c r="B17" s="4" t="s">
        <v>12</v>
      </c>
      <c r="C17" s="4" t="s">
        <v>44</v>
      </c>
      <c r="D17" s="5">
        <v>42593</v>
      </c>
      <c r="E17" s="6">
        <v>11227</v>
      </c>
      <c r="F17" s="6">
        <v>10931</v>
      </c>
      <c r="G17" s="7">
        <f t="shared" si="0"/>
        <v>0.97363498708470653</v>
      </c>
      <c r="H17" s="7" t="str">
        <f t="shared" si="1"/>
        <v>High</v>
      </c>
      <c r="I17" s="8" t="s">
        <v>14</v>
      </c>
      <c r="J17" s="9">
        <v>4</v>
      </c>
      <c r="K17" s="9">
        <v>1349</v>
      </c>
    </row>
    <row r="18" spans="1:11" x14ac:dyDescent="0.25">
      <c r="A18" s="4" t="s">
        <v>45</v>
      </c>
      <c r="B18" s="4" t="s">
        <v>12</v>
      </c>
      <c r="C18" s="4" t="s">
        <v>46</v>
      </c>
      <c r="D18" s="5">
        <v>42593</v>
      </c>
      <c r="E18" s="6">
        <v>19729</v>
      </c>
      <c r="F18" s="6">
        <v>19598</v>
      </c>
      <c r="G18" s="7">
        <f t="shared" si="0"/>
        <v>0.99336002838461146</v>
      </c>
      <c r="H18" s="7" t="str">
        <f t="shared" si="1"/>
        <v>High</v>
      </c>
      <c r="I18" s="8" t="s">
        <v>26</v>
      </c>
      <c r="J18" s="9">
        <v>5</v>
      </c>
      <c r="K18" s="9">
        <v>1391</v>
      </c>
    </row>
    <row r="19" spans="1:11" x14ac:dyDescent="0.25">
      <c r="A19" s="4" t="s">
        <v>47</v>
      </c>
      <c r="B19" s="4" t="s">
        <v>12</v>
      </c>
      <c r="C19" s="4" t="s">
        <v>48</v>
      </c>
      <c r="D19" s="5">
        <v>42593</v>
      </c>
      <c r="E19" s="6">
        <v>13503</v>
      </c>
      <c r="F19" s="6">
        <v>13466</v>
      </c>
      <c r="G19" s="7">
        <f t="shared" si="0"/>
        <v>0.99725986817744205</v>
      </c>
      <c r="H19" s="7" t="str">
        <f t="shared" si="1"/>
        <v>High</v>
      </c>
      <c r="I19" s="8" t="s">
        <v>26</v>
      </c>
      <c r="J19" s="9">
        <v>1</v>
      </c>
      <c r="K19" s="9">
        <v>2246</v>
      </c>
    </row>
    <row r="20" spans="1:11" x14ac:dyDescent="0.25">
      <c r="A20" s="4" t="s">
        <v>49</v>
      </c>
      <c r="B20" s="4" t="s">
        <v>12</v>
      </c>
      <c r="C20" s="4" t="s">
        <v>50</v>
      </c>
      <c r="D20" s="5">
        <v>42593</v>
      </c>
      <c r="E20" s="6">
        <v>15264</v>
      </c>
      <c r="F20" s="6">
        <v>14882</v>
      </c>
      <c r="G20" s="7">
        <f t="shared" si="0"/>
        <v>0.97497379454926625</v>
      </c>
      <c r="H20" s="7" t="str">
        <f t="shared" si="1"/>
        <v>High</v>
      </c>
      <c r="I20" s="8" t="s">
        <v>26</v>
      </c>
      <c r="J20" s="9">
        <v>1</v>
      </c>
      <c r="K20" s="9">
        <v>1473</v>
      </c>
    </row>
    <row r="21" spans="1:11" x14ac:dyDescent="0.25">
      <c r="A21" s="4" t="s">
        <v>51</v>
      </c>
      <c r="B21" s="4" t="s">
        <v>12</v>
      </c>
      <c r="C21" s="4" t="s">
        <v>52</v>
      </c>
      <c r="D21" s="5">
        <v>42593</v>
      </c>
      <c r="E21" s="6">
        <v>7974</v>
      </c>
      <c r="F21" s="6">
        <v>7813</v>
      </c>
      <c r="G21" s="7">
        <f t="shared" si="0"/>
        <v>0.97980938048658139</v>
      </c>
      <c r="H21" s="7" t="str">
        <f t="shared" si="1"/>
        <v>High</v>
      </c>
      <c r="I21" s="8" t="s">
        <v>17</v>
      </c>
      <c r="J21" s="9">
        <v>5</v>
      </c>
      <c r="K21" s="9">
        <v>1840</v>
      </c>
    </row>
    <row r="22" spans="1:11" x14ac:dyDescent="0.25">
      <c r="A22" s="4" t="s">
        <v>53</v>
      </c>
      <c r="B22" s="4" t="s">
        <v>12</v>
      </c>
      <c r="C22" s="4" t="s">
        <v>54</v>
      </c>
      <c r="D22" s="5">
        <v>42593</v>
      </c>
      <c r="E22" s="6">
        <v>10934</v>
      </c>
      <c r="F22" s="6">
        <v>10746</v>
      </c>
      <c r="G22" s="7">
        <f t="shared" si="0"/>
        <v>0.98280592646789833</v>
      </c>
      <c r="H22" s="7" t="str">
        <f t="shared" si="1"/>
        <v>High</v>
      </c>
      <c r="I22" s="8" t="s">
        <v>39</v>
      </c>
      <c r="J22" s="9">
        <v>2</v>
      </c>
      <c r="K22" s="9">
        <v>1912</v>
      </c>
    </row>
    <row r="23" spans="1:11" x14ac:dyDescent="0.25">
      <c r="A23" s="4" t="s">
        <v>55</v>
      </c>
      <c r="B23" s="4" t="s">
        <v>12</v>
      </c>
      <c r="C23" s="4" t="s">
        <v>56</v>
      </c>
      <c r="D23" s="5">
        <v>42593</v>
      </c>
      <c r="E23" s="6">
        <v>6871</v>
      </c>
      <c r="F23" s="6">
        <v>6762</v>
      </c>
      <c r="G23" s="7">
        <f t="shared" si="0"/>
        <v>0.98413622471256001</v>
      </c>
      <c r="H23" s="7" t="str">
        <f t="shared" si="1"/>
        <v>High</v>
      </c>
      <c r="I23" s="8" t="s">
        <v>14</v>
      </c>
      <c r="J23" s="9">
        <v>2</v>
      </c>
      <c r="K23" s="9">
        <v>2502</v>
      </c>
    </row>
    <row r="24" spans="1:11" x14ac:dyDescent="0.25">
      <c r="A24" s="4" t="s">
        <v>57</v>
      </c>
      <c r="B24" s="4" t="s">
        <v>12</v>
      </c>
      <c r="C24" s="4" t="s">
        <v>58</v>
      </c>
      <c r="D24" s="5">
        <v>42593</v>
      </c>
      <c r="E24" s="6">
        <v>7946</v>
      </c>
      <c r="F24" s="6">
        <v>7710</v>
      </c>
      <c r="G24" s="7">
        <f t="shared" si="0"/>
        <v>0.97029952177196077</v>
      </c>
      <c r="H24" s="7" t="str">
        <f t="shared" si="1"/>
        <v>High</v>
      </c>
      <c r="I24" s="8" t="s">
        <v>39</v>
      </c>
      <c r="J24" s="9">
        <v>3</v>
      </c>
      <c r="K24" s="9">
        <v>1835</v>
      </c>
    </row>
    <row r="25" spans="1:11" x14ac:dyDescent="0.25">
      <c r="A25" s="4" t="s">
        <v>59</v>
      </c>
      <c r="B25" s="4" t="s">
        <v>12</v>
      </c>
      <c r="C25" s="4" t="s">
        <v>60</v>
      </c>
      <c r="D25" s="5">
        <v>42593</v>
      </c>
      <c r="E25" s="6">
        <v>9188</v>
      </c>
      <c r="F25" s="6">
        <v>8722</v>
      </c>
      <c r="G25" s="7">
        <f t="shared" si="0"/>
        <v>0.94928167174575528</v>
      </c>
      <c r="H25" s="7" t="str">
        <f t="shared" si="1"/>
        <v>low</v>
      </c>
      <c r="I25" s="8" t="s">
        <v>39</v>
      </c>
      <c r="J25" s="9">
        <v>1</v>
      </c>
      <c r="K25" s="9">
        <v>2351</v>
      </c>
    </row>
    <row r="26" spans="1:11" x14ac:dyDescent="0.25">
      <c r="A26" s="4" t="s">
        <v>61</v>
      </c>
      <c r="B26" s="4" t="s">
        <v>12</v>
      </c>
      <c r="C26" s="4" t="s">
        <v>62</v>
      </c>
      <c r="D26" s="5">
        <v>42593</v>
      </c>
      <c r="E26" s="6">
        <v>11967</v>
      </c>
      <c r="F26" s="6">
        <v>11883</v>
      </c>
      <c r="G26" s="7">
        <f t="shared" si="0"/>
        <v>0.99298069691652047</v>
      </c>
      <c r="H26" s="7" t="str">
        <f t="shared" si="1"/>
        <v>High</v>
      </c>
      <c r="I26" s="8" t="s">
        <v>14</v>
      </c>
      <c r="J26" s="9">
        <v>2</v>
      </c>
      <c r="K26" s="9">
        <v>1624</v>
      </c>
    </row>
    <row r="27" spans="1:11" x14ac:dyDescent="0.25">
      <c r="A27" s="4" t="s">
        <v>63</v>
      </c>
      <c r="B27" s="4" t="s">
        <v>12</v>
      </c>
      <c r="C27" s="4" t="s">
        <v>64</v>
      </c>
      <c r="D27" s="5">
        <v>42593</v>
      </c>
      <c r="E27" s="6">
        <v>13024</v>
      </c>
      <c r="F27" s="6">
        <v>12840</v>
      </c>
      <c r="G27" s="7">
        <f t="shared" si="0"/>
        <v>0.98587223587223582</v>
      </c>
      <c r="H27" s="7" t="str">
        <f t="shared" si="1"/>
        <v>High</v>
      </c>
      <c r="I27" s="8" t="s">
        <v>26</v>
      </c>
      <c r="J27" s="9">
        <v>3</v>
      </c>
      <c r="K27" s="9">
        <v>1180</v>
      </c>
    </row>
    <row r="28" spans="1:11" x14ac:dyDescent="0.25">
      <c r="A28" s="4" t="s">
        <v>65</v>
      </c>
      <c r="B28" s="4" t="s">
        <v>12</v>
      </c>
      <c r="C28" s="4" t="s">
        <v>66</v>
      </c>
      <c r="D28" s="5">
        <v>42593</v>
      </c>
      <c r="E28" s="6">
        <v>11633</v>
      </c>
      <c r="F28" s="6">
        <v>11501</v>
      </c>
      <c r="G28" s="7">
        <f t="shared" si="0"/>
        <v>0.98865296999914043</v>
      </c>
      <c r="H28" s="7" t="str">
        <f t="shared" si="1"/>
        <v>High</v>
      </c>
      <c r="I28" s="8" t="s">
        <v>39</v>
      </c>
      <c r="J28" s="9">
        <v>4</v>
      </c>
      <c r="K28" s="9">
        <v>1165</v>
      </c>
    </row>
    <row r="29" spans="1:11" x14ac:dyDescent="0.25">
      <c r="A29" s="4" t="s">
        <v>67</v>
      </c>
      <c r="B29" s="4" t="s">
        <v>12</v>
      </c>
      <c r="C29" s="4" t="s">
        <v>68</v>
      </c>
      <c r="D29" s="5">
        <v>42593</v>
      </c>
      <c r="E29" s="6">
        <v>18938</v>
      </c>
      <c r="F29" s="6">
        <v>18525</v>
      </c>
      <c r="G29" s="7">
        <f t="shared" si="0"/>
        <v>0.97819199493082687</v>
      </c>
      <c r="H29" s="7" t="str">
        <f t="shared" si="1"/>
        <v>High</v>
      </c>
      <c r="I29" s="8" t="s">
        <v>39</v>
      </c>
      <c r="J29" s="9">
        <v>5</v>
      </c>
      <c r="K29" s="9">
        <v>2323</v>
      </c>
    </row>
    <row r="30" spans="1:11" x14ac:dyDescent="0.25">
      <c r="A30" s="4" t="s">
        <v>69</v>
      </c>
      <c r="B30" s="4" t="s">
        <v>12</v>
      </c>
      <c r="C30" s="4" t="s">
        <v>70</v>
      </c>
      <c r="D30" s="5">
        <v>42593</v>
      </c>
      <c r="E30" s="6">
        <v>4177</v>
      </c>
      <c r="F30" s="6">
        <v>3783</v>
      </c>
      <c r="G30" s="7">
        <f t="shared" si="0"/>
        <v>0.90567392865693086</v>
      </c>
      <c r="H30" s="7" t="str">
        <f t="shared" si="1"/>
        <v>low</v>
      </c>
      <c r="I30" s="8" t="s">
        <v>26</v>
      </c>
      <c r="J30" s="9">
        <v>2</v>
      </c>
      <c r="K30" s="9">
        <v>2284</v>
      </c>
    </row>
    <row r="31" spans="1:11" x14ac:dyDescent="0.25">
      <c r="A31" s="4" t="s">
        <v>71</v>
      </c>
      <c r="B31" s="4" t="s">
        <v>12</v>
      </c>
      <c r="C31" s="4" t="s">
        <v>72</v>
      </c>
      <c r="D31" s="5">
        <v>42593</v>
      </c>
      <c r="E31" s="6">
        <v>20288</v>
      </c>
      <c r="F31" s="6">
        <v>19753</v>
      </c>
      <c r="G31" s="7">
        <f t="shared" si="0"/>
        <v>0.97362973186119872</v>
      </c>
      <c r="H31" s="7" t="str">
        <f t="shared" si="1"/>
        <v>High</v>
      </c>
      <c r="I31" s="8" t="s">
        <v>17</v>
      </c>
      <c r="J31" s="9">
        <v>4</v>
      </c>
      <c r="K31" s="9">
        <v>1734</v>
      </c>
    </row>
    <row r="32" spans="1:11" x14ac:dyDescent="0.25">
      <c r="A32" s="4" t="s">
        <v>73</v>
      </c>
      <c r="B32" s="4" t="s">
        <v>12</v>
      </c>
      <c r="C32" s="4" t="s">
        <v>74</v>
      </c>
      <c r="D32" s="5">
        <v>42593</v>
      </c>
      <c r="E32" s="6">
        <v>4644</v>
      </c>
      <c r="F32" s="6">
        <v>4622</v>
      </c>
      <c r="G32" s="7">
        <f t="shared" si="0"/>
        <v>0.99526270456503019</v>
      </c>
      <c r="H32" s="7" t="str">
        <f t="shared" si="1"/>
        <v>High</v>
      </c>
      <c r="I32" s="8" t="s">
        <v>39</v>
      </c>
      <c r="J32" s="9">
        <v>4</v>
      </c>
      <c r="K32" s="9">
        <v>1510</v>
      </c>
    </row>
    <row r="33" spans="1:11" x14ac:dyDescent="0.25">
      <c r="A33" s="4" t="s">
        <v>75</v>
      </c>
      <c r="B33" s="4" t="s">
        <v>12</v>
      </c>
      <c r="C33" s="4" t="s">
        <v>76</v>
      </c>
      <c r="D33" s="5">
        <v>42593</v>
      </c>
      <c r="E33" s="6">
        <v>19679</v>
      </c>
      <c r="F33" s="6">
        <v>19479</v>
      </c>
      <c r="G33" s="7">
        <f t="shared" si="0"/>
        <v>0.98983688195538388</v>
      </c>
      <c r="H33" s="7" t="str">
        <f t="shared" si="1"/>
        <v>High</v>
      </c>
      <c r="I33" s="8" t="s">
        <v>39</v>
      </c>
      <c r="J33" s="9">
        <v>3</v>
      </c>
      <c r="K33" s="9">
        <v>1266</v>
      </c>
    </row>
    <row r="34" spans="1:11" x14ac:dyDescent="0.25">
      <c r="A34" s="4" t="s">
        <v>77</v>
      </c>
      <c r="B34" s="4" t="s">
        <v>12</v>
      </c>
      <c r="C34" s="4" t="s">
        <v>78</v>
      </c>
      <c r="D34" s="5">
        <v>42593</v>
      </c>
      <c r="E34" s="6">
        <v>1540</v>
      </c>
      <c r="F34" s="6">
        <v>1444</v>
      </c>
      <c r="G34" s="7">
        <f t="shared" si="0"/>
        <v>0.93766233766233764</v>
      </c>
      <c r="H34" s="7" t="str">
        <f t="shared" si="1"/>
        <v>low</v>
      </c>
      <c r="I34" s="8" t="s">
        <v>26</v>
      </c>
      <c r="J34" s="9">
        <v>4</v>
      </c>
      <c r="K34" s="9">
        <v>2047</v>
      </c>
    </row>
    <row r="35" spans="1:11" x14ac:dyDescent="0.25">
      <c r="A35" s="4" t="s">
        <v>79</v>
      </c>
      <c r="B35" s="4" t="s">
        <v>12</v>
      </c>
      <c r="C35" s="4" t="s">
        <v>80</v>
      </c>
      <c r="D35" s="5">
        <v>42593</v>
      </c>
      <c r="E35" s="6">
        <v>11479</v>
      </c>
      <c r="F35" s="6">
        <v>11123</v>
      </c>
      <c r="G35" s="7">
        <f t="shared" si="0"/>
        <v>0.96898684554403691</v>
      </c>
      <c r="H35" s="7" t="str">
        <f t="shared" si="1"/>
        <v>High</v>
      </c>
      <c r="I35" s="8" t="s">
        <v>17</v>
      </c>
      <c r="J35" s="9">
        <v>3</v>
      </c>
      <c r="K35" s="9">
        <v>1958</v>
      </c>
    </row>
    <row r="36" spans="1:11" x14ac:dyDescent="0.25">
      <c r="A36" s="4" t="s">
        <v>81</v>
      </c>
      <c r="B36" s="4" t="s">
        <v>12</v>
      </c>
      <c r="C36" s="4" t="s">
        <v>82</v>
      </c>
      <c r="D36" s="5">
        <v>42593</v>
      </c>
      <c r="E36" s="6">
        <v>11188</v>
      </c>
      <c r="F36" s="6">
        <v>10900</v>
      </c>
      <c r="G36" s="7">
        <f t="shared" si="0"/>
        <v>0.97425813371469427</v>
      </c>
      <c r="H36" s="7" t="str">
        <f t="shared" si="1"/>
        <v>High</v>
      </c>
      <c r="I36" s="8" t="s">
        <v>39</v>
      </c>
      <c r="J36" s="9">
        <v>5</v>
      </c>
      <c r="K36" s="9">
        <v>1969</v>
      </c>
    </row>
    <row r="37" spans="1:11" x14ac:dyDescent="0.25">
      <c r="A37" s="4" t="s">
        <v>83</v>
      </c>
      <c r="B37" s="4" t="s">
        <v>12</v>
      </c>
      <c r="C37" s="4" t="s">
        <v>84</v>
      </c>
      <c r="D37" s="5">
        <v>42593</v>
      </c>
      <c r="E37" s="6">
        <v>7426</v>
      </c>
      <c r="F37" s="6">
        <v>6940</v>
      </c>
      <c r="G37" s="7">
        <f t="shared" si="0"/>
        <v>0.93455426878534875</v>
      </c>
      <c r="H37" s="7" t="str">
        <f t="shared" si="1"/>
        <v>low</v>
      </c>
      <c r="I37" s="8" t="s">
        <v>26</v>
      </c>
      <c r="J37" s="9">
        <v>2</v>
      </c>
      <c r="K37" s="9">
        <v>1286</v>
      </c>
    </row>
    <row r="38" spans="1:11" x14ac:dyDescent="0.25">
      <c r="A38" s="4" t="s">
        <v>85</v>
      </c>
      <c r="B38" s="4" t="s">
        <v>12</v>
      </c>
      <c r="C38" s="4" t="s">
        <v>86</v>
      </c>
      <c r="D38" s="5">
        <v>42593</v>
      </c>
      <c r="E38" s="6">
        <v>19558</v>
      </c>
      <c r="F38" s="6">
        <v>19249</v>
      </c>
      <c r="G38" s="7">
        <f t="shared" si="0"/>
        <v>0.98420083853154716</v>
      </c>
      <c r="H38" s="7" t="str">
        <f t="shared" si="1"/>
        <v>High</v>
      </c>
      <c r="I38" s="8" t="s">
        <v>17</v>
      </c>
      <c r="J38" s="9">
        <v>3</v>
      </c>
      <c r="K38" s="9">
        <v>1991</v>
      </c>
    </row>
    <row r="39" spans="1:11" x14ac:dyDescent="0.25">
      <c r="A39" s="4" t="s">
        <v>87</v>
      </c>
      <c r="B39" s="4" t="s">
        <v>12</v>
      </c>
      <c r="C39" s="4" t="s">
        <v>88</v>
      </c>
      <c r="D39" s="5">
        <v>42652</v>
      </c>
      <c r="E39" s="6">
        <v>1501</v>
      </c>
      <c r="F39" s="6">
        <v>1415</v>
      </c>
      <c r="G39" s="7">
        <f t="shared" si="0"/>
        <v>0.94270486342438375</v>
      </c>
      <c r="H39" s="7" t="str">
        <f t="shared" si="1"/>
        <v>low</v>
      </c>
      <c r="I39" s="8" t="s">
        <v>17</v>
      </c>
      <c r="J39" s="9">
        <v>1</v>
      </c>
      <c r="K39" s="9">
        <v>1575</v>
      </c>
    </row>
    <row r="40" spans="1:11" x14ac:dyDescent="0.25">
      <c r="A40" s="4" t="s">
        <v>89</v>
      </c>
      <c r="B40" s="4" t="s">
        <v>12</v>
      </c>
      <c r="C40" s="4" t="s">
        <v>90</v>
      </c>
      <c r="D40" s="5">
        <v>42652</v>
      </c>
      <c r="E40" s="6">
        <v>13559</v>
      </c>
      <c r="F40" s="6">
        <v>13543</v>
      </c>
      <c r="G40" s="7">
        <f t="shared" si="0"/>
        <v>0.99881997197433436</v>
      </c>
      <c r="H40" s="7" t="str">
        <f t="shared" si="1"/>
        <v>High</v>
      </c>
      <c r="I40" s="8" t="s">
        <v>17</v>
      </c>
      <c r="J40" s="9">
        <v>5</v>
      </c>
      <c r="K40" s="9">
        <v>1467</v>
      </c>
    </row>
    <row r="41" spans="1:11" x14ac:dyDescent="0.25">
      <c r="A41" s="4" t="s">
        <v>91</v>
      </c>
      <c r="B41" s="4" t="s">
        <v>12</v>
      </c>
      <c r="C41" s="4" t="s">
        <v>92</v>
      </c>
      <c r="D41" s="5">
        <v>42652</v>
      </c>
      <c r="E41" s="6">
        <v>17383</v>
      </c>
      <c r="F41" s="6">
        <v>17240</v>
      </c>
      <c r="G41" s="7">
        <f t="shared" si="0"/>
        <v>0.99177357188057302</v>
      </c>
      <c r="H41" s="7" t="str">
        <f t="shared" si="1"/>
        <v>High</v>
      </c>
      <c r="I41" s="8" t="s">
        <v>39</v>
      </c>
      <c r="J41" s="9">
        <v>3</v>
      </c>
      <c r="K41" s="9">
        <v>1288</v>
      </c>
    </row>
    <row r="42" spans="1:11" x14ac:dyDescent="0.25">
      <c r="A42" s="4" t="s">
        <v>93</v>
      </c>
      <c r="B42" s="4" t="s">
        <v>12</v>
      </c>
      <c r="C42" s="4" t="s">
        <v>94</v>
      </c>
      <c r="D42" s="5">
        <v>42652</v>
      </c>
      <c r="E42" s="6">
        <v>18082</v>
      </c>
      <c r="F42" s="6">
        <v>16249</v>
      </c>
      <c r="G42" s="7">
        <f t="shared" si="0"/>
        <v>0.89862847030195769</v>
      </c>
      <c r="H42" s="7" t="str">
        <f t="shared" si="1"/>
        <v>low</v>
      </c>
      <c r="I42" s="8" t="s">
        <v>17</v>
      </c>
      <c r="J42" s="9">
        <v>1</v>
      </c>
      <c r="K42" s="9">
        <v>1198</v>
      </c>
    </row>
    <row r="43" spans="1:11" x14ac:dyDescent="0.25">
      <c r="A43" s="4" t="s">
        <v>95</v>
      </c>
      <c r="B43" s="4" t="s">
        <v>96</v>
      </c>
      <c r="C43" s="4" t="s">
        <v>96</v>
      </c>
      <c r="D43" s="5">
        <v>42737</v>
      </c>
      <c r="E43" s="6">
        <v>8961</v>
      </c>
      <c r="F43" s="6">
        <v>8481</v>
      </c>
      <c r="G43" s="7">
        <f t="shared" si="0"/>
        <v>0.9464345497154335</v>
      </c>
      <c r="H43" s="7" t="str">
        <f t="shared" si="1"/>
        <v>low</v>
      </c>
      <c r="I43" s="8" t="s">
        <v>26</v>
      </c>
      <c r="J43" s="9">
        <v>5</v>
      </c>
      <c r="K43" s="9">
        <v>2470</v>
      </c>
    </row>
    <row r="44" spans="1:11" x14ac:dyDescent="0.25">
      <c r="A44" s="4" t="s">
        <v>97</v>
      </c>
      <c r="B44" s="4" t="s">
        <v>98</v>
      </c>
      <c r="C44" s="4" t="s">
        <v>99</v>
      </c>
      <c r="D44" s="5">
        <v>42685</v>
      </c>
      <c r="E44" s="6">
        <v>19452</v>
      </c>
      <c r="F44" s="6">
        <v>18370</v>
      </c>
      <c r="G44" s="7">
        <f t="shared" si="0"/>
        <v>0.94437589965042157</v>
      </c>
      <c r="H44" s="7" t="str">
        <f t="shared" si="1"/>
        <v>low</v>
      </c>
      <c r="I44" s="8" t="s">
        <v>14</v>
      </c>
      <c r="J44" s="9">
        <v>3</v>
      </c>
      <c r="K44" s="9">
        <v>1461</v>
      </c>
    </row>
    <row r="45" spans="1:11" x14ac:dyDescent="0.25">
      <c r="A45" s="4" t="s">
        <v>100</v>
      </c>
      <c r="B45" s="4" t="s">
        <v>98</v>
      </c>
      <c r="C45" s="4" t="s">
        <v>101</v>
      </c>
      <c r="D45" s="5">
        <v>42685</v>
      </c>
      <c r="E45" s="6">
        <v>8878</v>
      </c>
      <c r="F45" s="6">
        <v>8540</v>
      </c>
      <c r="G45" s="7">
        <f t="shared" si="0"/>
        <v>0.96192836224374856</v>
      </c>
      <c r="H45" s="7" t="str">
        <f t="shared" si="1"/>
        <v>High</v>
      </c>
      <c r="I45" s="8" t="s">
        <v>14</v>
      </c>
      <c r="J45" s="9">
        <v>3</v>
      </c>
      <c r="K45" s="9">
        <v>1759</v>
      </c>
    </row>
    <row r="46" spans="1:11" x14ac:dyDescent="0.25">
      <c r="A46" s="4" t="s">
        <v>102</v>
      </c>
      <c r="B46" s="4" t="s">
        <v>98</v>
      </c>
      <c r="C46" s="4" t="s">
        <v>103</v>
      </c>
      <c r="D46" s="5">
        <v>42685</v>
      </c>
      <c r="E46" s="6">
        <v>13148</v>
      </c>
      <c r="F46" s="6">
        <v>12821</v>
      </c>
      <c r="G46" s="7">
        <f t="shared" si="0"/>
        <v>0.97512929723151809</v>
      </c>
      <c r="H46" s="7" t="str">
        <f t="shared" si="1"/>
        <v>High</v>
      </c>
      <c r="I46" s="8" t="s">
        <v>26</v>
      </c>
      <c r="J46" s="9">
        <v>2</v>
      </c>
      <c r="K46" s="9">
        <v>2237</v>
      </c>
    </row>
    <row r="47" spans="1:11" x14ac:dyDescent="0.25">
      <c r="A47" s="4" t="s">
        <v>104</v>
      </c>
      <c r="B47" s="4" t="s">
        <v>98</v>
      </c>
      <c r="C47" s="4" t="s">
        <v>105</v>
      </c>
      <c r="D47" s="5">
        <v>42685</v>
      </c>
      <c r="E47" s="6">
        <v>4104</v>
      </c>
      <c r="F47" s="6">
        <v>3659</v>
      </c>
      <c r="G47" s="7">
        <f t="shared" si="0"/>
        <v>0.89156920077972712</v>
      </c>
      <c r="H47" s="7" t="str">
        <f t="shared" si="1"/>
        <v>low</v>
      </c>
      <c r="I47" s="8" t="s">
        <v>39</v>
      </c>
      <c r="J47" s="9">
        <v>1</v>
      </c>
      <c r="K47" s="9">
        <v>2010</v>
      </c>
    </row>
    <row r="48" spans="1:11" x14ac:dyDescent="0.25">
      <c r="A48" s="4" t="s">
        <v>100</v>
      </c>
      <c r="B48" s="4" t="s">
        <v>98</v>
      </c>
      <c r="C48" s="4" t="s">
        <v>106</v>
      </c>
      <c r="D48" s="5">
        <v>42685</v>
      </c>
      <c r="E48" s="6">
        <v>12567</v>
      </c>
      <c r="F48" s="6">
        <v>12502</v>
      </c>
      <c r="G48" s="7">
        <f t="shared" si="0"/>
        <v>0.99482772340256231</v>
      </c>
      <c r="H48" s="7" t="str">
        <f t="shared" si="1"/>
        <v>High</v>
      </c>
      <c r="I48" s="8" t="s">
        <v>14</v>
      </c>
      <c r="J48" s="9">
        <v>4</v>
      </c>
      <c r="K48" s="9">
        <v>1066</v>
      </c>
    </row>
    <row r="49" spans="1:11" x14ac:dyDescent="0.25">
      <c r="A49" s="4" t="s">
        <v>107</v>
      </c>
      <c r="B49" s="4" t="s">
        <v>98</v>
      </c>
      <c r="C49" s="4" t="s">
        <v>108</v>
      </c>
      <c r="D49" s="5">
        <v>42685</v>
      </c>
      <c r="E49" s="6">
        <v>20834</v>
      </c>
      <c r="F49" s="6">
        <v>20382</v>
      </c>
      <c r="G49" s="7">
        <f t="shared" si="0"/>
        <v>0.97830469424978406</v>
      </c>
      <c r="H49" s="7" t="str">
        <f t="shared" si="1"/>
        <v>High</v>
      </c>
      <c r="I49" s="8" t="s">
        <v>17</v>
      </c>
      <c r="J49" s="9">
        <v>5</v>
      </c>
      <c r="K49" s="9">
        <v>1371</v>
      </c>
    </row>
    <row r="50" spans="1:11" x14ac:dyDescent="0.25">
      <c r="A50" s="4" t="s">
        <v>109</v>
      </c>
      <c r="B50" s="4" t="s">
        <v>98</v>
      </c>
      <c r="C50" s="4" t="s">
        <v>110</v>
      </c>
      <c r="D50" s="5">
        <v>42685</v>
      </c>
      <c r="E50" s="6">
        <v>3333</v>
      </c>
      <c r="F50" s="6">
        <v>2981</v>
      </c>
      <c r="G50" s="7">
        <f t="shared" si="0"/>
        <v>0.89438943894389444</v>
      </c>
      <c r="H50" s="7" t="str">
        <f t="shared" si="1"/>
        <v>low</v>
      </c>
      <c r="I50" s="8" t="s">
        <v>39</v>
      </c>
      <c r="J50" s="9">
        <v>3</v>
      </c>
      <c r="K50" s="9">
        <v>1378</v>
      </c>
    </row>
    <row r="51" spans="1:11" x14ac:dyDescent="0.25">
      <c r="A51" s="4" t="s">
        <v>111</v>
      </c>
      <c r="B51" s="4" t="s">
        <v>98</v>
      </c>
      <c r="C51" s="4" t="s">
        <v>112</v>
      </c>
      <c r="D51" s="5">
        <v>42685</v>
      </c>
      <c r="E51" s="6">
        <v>13285</v>
      </c>
      <c r="F51" s="6">
        <v>13214</v>
      </c>
      <c r="G51" s="7">
        <f t="shared" si="0"/>
        <v>0.9946556266465939</v>
      </c>
      <c r="H51" s="7" t="str">
        <f t="shared" si="1"/>
        <v>High</v>
      </c>
      <c r="I51" s="8" t="s">
        <v>39</v>
      </c>
      <c r="J51" s="9">
        <v>5</v>
      </c>
      <c r="K51" s="9">
        <v>1725</v>
      </c>
    </row>
    <row r="52" spans="1:11" x14ac:dyDescent="0.25">
      <c r="A52" s="4" t="s">
        <v>113</v>
      </c>
      <c r="B52" s="4" t="s">
        <v>98</v>
      </c>
      <c r="C52" s="4" t="s">
        <v>114</v>
      </c>
      <c r="D52" s="5">
        <v>42685</v>
      </c>
      <c r="E52" s="6">
        <v>4046</v>
      </c>
      <c r="F52" s="6">
        <v>3966</v>
      </c>
      <c r="G52" s="7">
        <f t="shared" si="0"/>
        <v>0.98022738507167573</v>
      </c>
      <c r="H52" s="7" t="str">
        <f t="shared" si="1"/>
        <v>High</v>
      </c>
      <c r="I52" s="8" t="s">
        <v>17</v>
      </c>
      <c r="J52" s="9">
        <v>3</v>
      </c>
      <c r="K52" s="9">
        <v>2256</v>
      </c>
    </row>
    <row r="53" spans="1:11" x14ac:dyDescent="0.25">
      <c r="A53" s="4" t="s">
        <v>115</v>
      </c>
      <c r="B53" s="4" t="s">
        <v>98</v>
      </c>
      <c r="C53" s="4" t="s">
        <v>116</v>
      </c>
      <c r="D53" s="5">
        <v>42685</v>
      </c>
      <c r="E53" s="6">
        <v>3525</v>
      </c>
      <c r="F53" s="6">
        <v>3522</v>
      </c>
      <c r="G53" s="7">
        <f t="shared" si="0"/>
        <v>0.99914893617021272</v>
      </c>
      <c r="H53" s="7" t="str">
        <f t="shared" si="1"/>
        <v>High</v>
      </c>
      <c r="I53" s="8" t="s">
        <v>14</v>
      </c>
      <c r="J53" s="9">
        <v>1</v>
      </c>
      <c r="K53" s="9">
        <v>2196</v>
      </c>
    </row>
    <row r="54" spans="1:11" x14ac:dyDescent="0.25">
      <c r="A54" s="4" t="s">
        <v>117</v>
      </c>
      <c r="B54" s="4" t="s">
        <v>98</v>
      </c>
      <c r="C54" s="4" t="s">
        <v>118</v>
      </c>
      <c r="D54" s="5">
        <v>42685</v>
      </c>
      <c r="E54" s="6">
        <v>16830</v>
      </c>
      <c r="F54" s="6">
        <v>16559</v>
      </c>
      <c r="G54" s="7">
        <f t="shared" si="0"/>
        <v>0.9838978015448604</v>
      </c>
      <c r="H54" s="7" t="str">
        <f t="shared" si="1"/>
        <v>High</v>
      </c>
      <c r="I54" s="8" t="s">
        <v>39</v>
      </c>
      <c r="J54" s="9">
        <v>4</v>
      </c>
      <c r="K54" s="9">
        <v>1344</v>
      </c>
    </row>
    <row r="55" spans="1:11" x14ac:dyDescent="0.25">
      <c r="A55" s="4" t="s">
        <v>119</v>
      </c>
      <c r="B55" s="4" t="s">
        <v>98</v>
      </c>
      <c r="C55" s="4" t="s">
        <v>120</v>
      </c>
      <c r="D55" s="5">
        <v>42685</v>
      </c>
      <c r="E55" s="6">
        <v>18488</v>
      </c>
      <c r="F55" s="6">
        <v>18438</v>
      </c>
      <c r="G55" s="7">
        <f t="shared" si="0"/>
        <v>0.9972955430549546</v>
      </c>
      <c r="H55" s="7" t="str">
        <f t="shared" si="1"/>
        <v>High</v>
      </c>
      <c r="I55" s="8" t="s">
        <v>26</v>
      </c>
      <c r="J55" s="9">
        <v>2</v>
      </c>
      <c r="K55" s="9">
        <v>1480</v>
      </c>
    </row>
    <row r="56" spans="1:11" x14ac:dyDescent="0.25">
      <c r="A56" s="4" t="s">
        <v>121</v>
      </c>
      <c r="B56" s="4" t="s">
        <v>98</v>
      </c>
      <c r="C56" s="4" t="s">
        <v>122</v>
      </c>
      <c r="D56" s="5">
        <v>42685</v>
      </c>
      <c r="E56" s="6">
        <v>18472</v>
      </c>
      <c r="F56" s="6">
        <v>18457</v>
      </c>
      <c r="G56" s="7">
        <f t="shared" si="0"/>
        <v>0.9991879601559116</v>
      </c>
      <c r="H56" s="7" t="str">
        <f t="shared" si="1"/>
        <v>High</v>
      </c>
      <c r="I56" s="8" t="s">
        <v>39</v>
      </c>
      <c r="J56" s="9">
        <v>3</v>
      </c>
      <c r="K56" s="9">
        <v>1551</v>
      </c>
    </row>
    <row r="57" spans="1:11" x14ac:dyDescent="0.25">
      <c r="A57" s="4" t="s">
        <v>123</v>
      </c>
      <c r="B57" s="4" t="s">
        <v>98</v>
      </c>
      <c r="C57" s="4" t="s">
        <v>124</v>
      </c>
      <c r="D57" s="5">
        <v>42685</v>
      </c>
      <c r="E57" s="6">
        <v>18286</v>
      </c>
      <c r="F57" s="6">
        <v>17922</v>
      </c>
      <c r="G57" s="7">
        <f t="shared" si="0"/>
        <v>0.98009406103029639</v>
      </c>
      <c r="H57" s="7" t="str">
        <f t="shared" si="1"/>
        <v>High</v>
      </c>
      <c r="I57" s="8" t="s">
        <v>17</v>
      </c>
      <c r="J57" s="9">
        <v>5</v>
      </c>
      <c r="K57" s="9">
        <v>1285</v>
      </c>
    </row>
    <row r="58" spans="1:11" x14ac:dyDescent="0.25">
      <c r="A58" s="4" t="s">
        <v>125</v>
      </c>
      <c r="B58" s="4" t="s">
        <v>98</v>
      </c>
      <c r="C58" s="4" t="s">
        <v>126</v>
      </c>
      <c r="D58" s="5">
        <v>42685</v>
      </c>
      <c r="E58" s="6">
        <v>1655</v>
      </c>
      <c r="F58" s="6">
        <v>1558</v>
      </c>
      <c r="G58" s="7">
        <f t="shared" si="0"/>
        <v>0.94138972809667676</v>
      </c>
      <c r="H58" s="7" t="str">
        <f t="shared" si="1"/>
        <v>low</v>
      </c>
      <c r="I58" s="8" t="s">
        <v>17</v>
      </c>
      <c r="J58" s="9">
        <v>5</v>
      </c>
      <c r="K58" s="9">
        <v>1667</v>
      </c>
    </row>
    <row r="59" spans="1:11" x14ac:dyDescent="0.25">
      <c r="A59" s="4" t="s">
        <v>127</v>
      </c>
      <c r="B59" s="4" t="s">
        <v>98</v>
      </c>
      <c r="C59" s="4" t="s">
        <v>128</v>
      </c>
      <c r="D59" s="5">
        <v>42715</v>
      </c>
      <c r="E59" s="6">
        <v>5400</v>
      </c>
      <c r="F59" s="6">
        <v>5243</v>
      </c>
      <c r="G59" s="7">
        <f t="shared" si="0"/>
        <v>0.97092592592592597</v>
      </c>
      <c r="H59" s="7" t="str">
        <f t="shared" si="1"/>
        <v>High</v>
      </c>
      <c r="I59" s="8" t="s">
        <v>14</v>
      </c>
      <c r="J59" s="9">
        <v>2</v>
      </c>
      <c r="K59" s="9">
        <v>2146</v>
      </c>
    </row>
    <row r="60" spans="1:11" x14ac:dyDescent="0.25">
      <c r="A60" s="4" t="s">
        <v>129</v>
      </c>
      <c r="B60" s="4" t="s">
        <v>98</v>
      </c>
      <c r="C60" s="4" t="s">
        <v>130</v>
      </c>
      <c r="D60" s="5">
        <v>42715</v>
      </c>
      <c r="E60" s="6">
        <v>19962</v>
      </c>
      <c r="F60" s="6">
        <v>18776</v>
      </c>
      <c r="G60" s="7">
        <f t="shared" si="0"/>
        <v>0.94058711551948704</v>
      </c>
      <c r="H60" s="7" t="str">
        <f t="shared" si="1"/>
        <v>low</v>
      </c>
      <c r="I60" s="8" t="s">
        <v>17</v>
      </c>
      <c r="J60" s="9">
        <v>4</v>
      </c>
      <c r="K60" s="9">
        <v>2266</v>
      </c>
    </row>
    <row r="61" spans="1:11" x14ac:dyDescent="0.25">
      <c r="A61" s="4" t="s">
        <v>131</v>
      </c>
      <c r="B61" s="4" t="s">
        <v>132</v>
      </c>
      <c r="C61" s="4" t="s">
        <v>133</v>
      </c>
      <c r="D61" s="5">
        <v>42685</v>
      </c>
      <c r="E61" s="6">
        <v>4782</v>
      </c>
      <c r="F61" s="6">
        <v>4493</v>
      </c>
      <c r="G61" s="7">
        <f t="shared" si="0"/>
        <v>0.93956503554997906</v>
      </c>
      <c r="H61" s="7" t="str">
        <f t="shared" si="1"/>
        <v>low</v>
      </c>
      <c r="I61" s="8" t="s">
        <v>14</v>
      </c>
      <c r="J61" s="9">
        <v>3</v>
      </c>
      <c r="K61" s="9">
        <v>2491</v>
      </c>
    </row>
    <row r="62" spans="1:11" x14ac:dyDescent="0.25">
      <c r="A62" s="4" t="s">
        <v>134</v>
      </c>
      <c r="B62" s="4" t="s">
        <v>132</v>
      </c>
      <c r="C62" s="4" t="s">
        <v>135</v>
      </c>
      <c r="D62" s="5">
        <v>42685</v>
      </c>
      <c r="E62" s="6">
        <v>22756</v>
      </c>
      <c r="F62" s="6">
        <v>22558</v>
      </c>
      <c r="G62" s="7">
        <f t="shared" si="0"/>
        <v>0.99129899806644406</v>
      </c>
      <c r="H62" s="7" t="str">
        <f t="shared" si="1"/>
        <v>High</v>
      </c>
      <c r="I62" s="8" t="s">
        <v>17</v>
      </c>
      <c r="J62" s="9">
        <v>5</v>
      </c>
      <c r="K62" s="9">
        <v>1504</v>
      </c>
    </row>
    <row r="63" spans="1:11" x14ac:dyDescent="0.25">
      <c r="A63" s="4" t="s">
        <v>136</v>
      </c>
      <c r="B63" s="4" t="s">
        <v>132</v>
      </c>
      <c r="C63" s="4" t="s">
        <v>137</v>
      </c>
      <c r="D63" s="5">
        <v>42685</v>
      </c>
      <c r="E63" s="6">
        <v>13359</v>
      </c>
      <c r="F63" s="6">
        <v>12972</v>
      </c>
      <c r="G63" s="7">
        <f t="shared" si="0"/>
        <v>0.97103076577588143</v>
      </c>
      <c r="H63" s="7" t="str">
        <f t="shared" si="1"/>
        <v>High</v>
      </c>
      <c r="I63" s="8" t="s">
        <v>17</v>
      </c>
      <c r="J63" s="9">
        <v>4</v>
      </c>
      <c r="K63" s="9">
        <v>1517</v>
      </c>
    </row>
    <row r="64" spans="1:11" x14ac:dyDescent="0.25">
      <c r="A64" s="4" t="s">
        <v>138</v>
      </c>
      <c r="B64" s="4" t="s">
        <v>132</v>
      </c>
      <c r="C64" s="4" t="s">
        <v>139</v>
      </c>
      <c r="D64" s="5">
        <v>42685</v>
      </c>
      <c r="E64" s="6">
        <v>10964</v>
      </c>
      <c r="F64" s="6">
        <v>10925</v>
      </c>
      <c r="G64" s="7">
        <f t="shared" si="0"/>
        <v>0.99644290404961688</v>
      </c>
      <c r="H64" s="7" t="str">
        <f t="shared" si="1"/>
        <v>High</v>
      </c>
      <c r="I64" s="8" t="s">
        <v>26</v>
      </c>
      <c r="J64" s="9">
        <v>5</v>
      </c>
      <c r="K64" s="9">
        <v>1635</v>
      </c>
    </row>
    <row r="65" spans="1:11" x14ac:dyDescent="0.25">
      <c r="A65" s="4" t="s">
        <v>140</v>
      </c>
      <c r="B65" s="4" t="s">
        <v>132</v>
      </c>
      <c r="C65" s="4" t="s">
        <v>141</v>
      </c>
      <c r="D65" s="5">
        <v>42685</v>
      </c>
      <c r="E65" s="6">
        <v>12302</v>
      </c>
      <c r="F65" s="6">
        <v>11911</v>
      </c>
      <c r="G65" s="7">
        <f t="shared" si="0"/>
        <v>0.96821655015444641</v>
      </c>
      <c r="H65" s="7" t="str">
        <f t="shared" si="1"/>
        <v>High</v>
      </c>
      <c r="I65" s="8" t="s">
        <v>14</v>
      </c>
      <c r="J65" s="9">
        <v>5</v>
      </c>
      <c r="K65" s="9">
        <v>1928</v>
      </c>
    </row>
    <row r="66" spans="1:11" x14ac:dyDescent="0.25">
      <c r="A66" s="4" t="s">
        <v>142</v>
      </c>
      <c r="B66" s="4" t="s">
        <v>132</v>
      </c>
      <c r="C66" s="4" t="s">
        <v>143</v>
      </c>
      <c r="D66" s="5">
        <v>42685</v>
      </c>
      <c r="E66" s="6">
        <v>20340</v>
      </c>
      <c r="F66" s="6">
        <v>18828</v>
      </c>
      <c r="G66" s="7">
        <f t="shared" si="0"/>
        <v>0.92566371681415927</v>
      </c>
      <c r="H66" s="7" t="str">
        <f t="shared" si="1"/>
        <v>low</v>
      </c>
      <c r="I66" s="8" t="s">
        <v>26</v>
      </c>
      <c r="J66" s="9">
        <v>1</v>
      </c>
      <c r="K66" s="9">
        <v>2413</v>
      </c>
    </row>
    <row r="67" spans="1:11" x14ac:dyDescent="0.25">
      <c r="A67" s="4" t="s">
        <v>144</v>
      </c>
      <c r="B67" s="4" t="s">
        <v>132</v>
      </c>
      <c r="C67" s="4" t="s">
        <v>145</v>
      </c>
      <c r="D67" s="5">
        <v>42685</v>
      </c>
      <c r="E67" s="6">
        <v>10858</v>
      </c>
      <c r="F67" s="6">
        <v>10008</v>
      </c>
      <c r="G67" s="7">
        <f t="shared" ref="G67:G127" si="2">F67/E67</f>
        <v>0.92171670657579663</v>
      </c>
      <c r="H67" s="7" t="str">
        <f t="shared" si="1"/>
        <v>low</v>
      </c>
      <c r="I67" s="8" t="s">
        <v>26</v>
      </c>
      <c r="J67" s="9">
        <v>1</v>
      </c>
      <c r="K67" s="9">
        <v>1269</v>
      </c>
    </row>
    <row r="68" spans="1:11" x14ac:dyDescent="0.25">
      <c r="A68" s="4" t="s">
        <v>146</v>
      </c>
      <c r="B68" s="4" t="s">
        <v>132</v>
      </c>
      <c r="C68" s="4" t="s">
        <v>147</v>
      </c>
      <c r="D68" s="5">
        <v>42685</v>
      </c>
      <c r="E68" s="6">
        <v>18029</v>
      </c>
      <c r="F68" s="6">
        <v>17870</v>
      </c>
      <c r="G68" s="7">
        <f t="shared" si="2"/>
        <v>0.99118087525653109</v>
      </c>
      <c r="H68" s="7" t="str">
        <f t="shared" ref="H68:H127" si="3">IF(G68&gt;=95%,"High","low")</f>
        <v>High</v>
      </c>
      <c r="I68" s="8" t="s">
        <v>26</v>
      </c>
      <c r="J68" s="9">
        <v>5</v>
      </c>
      <c r="K68" s="9">
        <v>2244</v>
      </c>
    </row>
    <row r="69" spans="1:11" x14ac:dyDescent="0.25">
      <c r="A69" s="4" t="s">
        <v>148</v>
      </c>
      <c r="B69" s="4" t="s">
        <v>132</v>
      </c>
      <c r="C69" s="4" t="s">
        <v>149</v>
      </c>
      <c r="D69" s="5">
        <v>42685</v>
      </c>
      <c r="E69" s="6">
        <v>17900</v>
      </c>
      <c r="F69" s="6">
        <v>17454</v>
      </c>
      <c r="G69" s="7">
        <f t="shared" si="2"/>
        <v>0.9750837988826816</v>
      </c>
      <c r="H69" s="7" t="str">
        <f t="shared" si="3"/>
        <v>High</v>
      </c>
      <c r="I69" s="8" t="s">
        <v>14</v>
      </c>
      <c r="J69" s="9">
        <v>2</v>
      </c>
      <c r="K69" s="9">
        <v>1830</v>
      </c>
    </row>
    <row r="70" spans="1:11" x14ac:dyDescent="0.25">
      <c r="A70" s="4" t="s">
        <v>150</v>
      </c>
      <c r="B70" s="4" t="s">
        <v>132</v>
      </c>
      <c r="C70" s="4" t="s">
        <v>151</v>
      </c>
      <c r="D70" s="5">
        <v>42685</v>
      </c>
      <c r="E70" s="6">
        <v>3021</v>
      </c>
      <c r="F70" s="6">
        <v>2869</v>
      </c>
      <c r="G70" s="7">
        <f t="shared" si="2"/>
        <v>0.94968553459119498</v>
      </c>
      <c r="H70" s="7" t="str">
        <f t="shared" si="3"/>
        <v>low</v>
      </c>
      <c r="I70" s="8" t="s">
        <v>14</v>
      </c>
      <c r="J70" s="9">
        <v>2</v>
      </c>
      <c r="K70" s="9">
        <v>2211</v>
      </c>
    </row>
    <row r="71" spans="1:11" x14ac:dyDescent="0.25">
      <c r="A71" s="4" t="s">
        <v>152</v>
      </c>
      <c r="B71" s="4" t="s">
        <v>132</v>
      </c>
      <c r="C71" s="4" t="s">
        <v>153</v>
      </c>
      <c r="D71" s="5">
        <v>42685</v>
      </c>
      <c r="E71" s="6">
        <v>12190</v>
      </c>
      <c r="F71" s="6">
        <v>10634</v>
      </c>
      <c r="G71" s="7">
        <f t="shared" si="2"/>
        <v>0.87235438884331418</v>
      </c>
      <c r="H71" s="7" t="str">
        <f t="shared" si="3"/>
        <v>low</v>
      </c>
      <c r="I71" s="8" t="s">
        <v>14</v>
      </c>
      <c r="J71" s="9">
        <v>1</v>
      </c>
      <c r="K71" s="9">
        <v>1472</v>
      </c>
    </row>
    <row r="72" spans="1:11" x14ac:dyDescent="0.25">
      <c r="A72" s="4" t="s">
        <v>154</v>
      </c>
      <c r="B72" s="4" t="s">
        <v>132</v>
      </c>
      <c r="C72" s="4" t="s">
        <v>155</v>
      </c>
      <c r="D72" s="5">
        <v>42685</v>
      </c>
      <c r="E72" s="6">
        <v>9964</v>
      </c>
      <c r="F72" s="6">
        <v>8480</v>
      </c>
      <c r="G72" s="7">
        <f t="shared" si="2"/>
        <v>0.85106382978723405</v>
      </c>
      <c r="H72" s="7" t="str">
        <f t="shared" si="3"/>
        <v>low</v>
      </c>
      <c r="I72" s="8" t="s">
        <v>17</v>
      </c>
      <c r="J72" s="9">
        <v>1</v>
      </c>
      <c r="K72" s="9">
        <v>1161</v>
      </c>
    </row>
    <row r="73" spans="1:11" x14ac:dyDescent="0.25">
      <c r="A73" s="4" t="s">
        <v>156</v>
      </c>
      <c r="B73" s="4" t="s">
        <v>132</v>
      </c>
      <c r="C73" s="4" t="s">
        <v>157</v>
      </c>
      <c r="D73" s="5">
        <v>42685</v>
      </c>
      <c r="E73" s="6">
        <v>2244</v>
      </c>
      <c r="F73" s="6">
        <v>2072</v>
      </c>
      <c r="G73" s="7">
        <f t="shared" si="2"/>
        <v>0.92335115864527628</v>
      </c>
      <c r="H73" s="7" t="str">
        <f t="shared" si="3"/>
        <v>low</v>
      </c>
      <c r="I73" s="8" t="s">
        <v>14</v>
      </c>
      <c r="J73" s="9">
        <v>5</v>
      </c>
      <c r="K73" s="9">
        <v>1243</v>
      </c>
    </row>
    <row r="74" spans="1:11" x14ac:dyDescent="0.25">
      <c r="A74" s="4" t="s">
        <v>158</v>
      </c>
      <c r="B74" s="4" t="s">
        <v>132</v>
      </c>
      <c r="C74" s="4" t="s">
        <v>16</v>
      </c>
      <c r="D74" s="5">
        <v>42685</v>
      </c>
      <c r="E74" s="6">
        <v>4032</v>
      </c>
      <c r="F74" s="6">
        <v>3606</v>
      </c>
      <c r="G74" s="7">
        <f t="shared" si="2"/>
        <v>0.89434523809523814</v>
      </c>
      <c r="H74" s="7" t="str">
        <f t="shared" si="3"/>
        <v>low</v>
      </c>
      <c r="I74" s="8" t="s">
        <v>14</v>
      </c>
      <c r="J74" s="9">
        <v>1</v>
      </c>
      <c r="K74" s="9">
        <v>2243</v>
      </c>
    </row>
    <row r="75" spans="1:11" x14ac:dyDescent="0.25">
      <c r="A75" s="4" t="s">
        <v>159</v>
      </c>
      <c r="B75" s="4" t="s">
        <v>132</v>
      </c>
      <c r="C75" s="4" t="s">
        <v>160</v>
      </c>
      <c r="D75" s="5">
        <v>42685</v>
      </c>
      <c r="E75" s="6">
        <v>3371</v>
      </c>
      <c r="F75" s="6">
        <v>2788</v>
      </c>
      <c r="G75" s="7">
        <f t="shared" si="2"/>
        <v>0.82705428656185109</v>
      </c>
      <c r="H75" s="7" t="str">
        <f t="shared" si="3"/>
        <v>low</v>
      </c>
      <c r="I75" s="8" t="s">
        <v>39</v>
      </c>
      <c r="J75" s="9">
        <v>5</v>
      </c>
      <c r="K75" s="9">
        <v>2456</v>
      </c>
    </row>
    <row r="76" spans="1:11" x14ac:dyDescent="0.25">
      <c r="A76" s="4" t="s">
        <v>161</v>
      </c>
      <c r="B76" s="4" t="s">
        <v>132</v>
      </c>
      <c r="C76" s="4" t="s">
        <v>162</v>
      </c>
      <c r="D76" s="5">
        <v>42685</v>
      </c>
      <c r="E76" s="6">
        <v>15474</v>
      </c>
      <c r="F76" s="6">
        <v>14975</v>
      </c>
      <c r="G76" s="7">
        <f t="shared" si="2"/>
        <v>0.96775235879539878</v>
      </c>
      <c r="H76" s="7" t="str">
        <f t="shared" si="3"/>
        <v>High</v>
      </c>
      <c r="I76" s="8" t="s">
        <v>14</v>
      </c>
      <c r="J76" s="9">
        <v>2</v>
      </c>
      <c r="K76" s="9">
        <v>1386</v>
      </c>
    </row>
    <row r="77" spans="1:11" x14ac:dyDescent="0.25">
      <c r="A77" s="4" t="s">
        <v>163</v>
      </c>
      <c r="B77" s="4" t="s">
        <v>132</v>
      </c>
      <c r="C77" s="4" t="s">
        <v>164</v>
      </c>
      <c r="D77" s="5">
        <v>42685</v>
      </c>
      <c r="E77" s="6">
        <v>12757</v>
      </c>
      <c r="F77" s="6">
        <v>12201</v>
      </c>
      <c r="G77" s="7">
        <f t="shared" si="2"/>
        <v>0.95641608528650934</v>
      </c>
      <c r="H77" s="7" t="str">
        <f t="shared" si="3"/>
        <v>High</v>
      </c>
      <c r="I77" s="8" t="s">
        <v>39</v>
      </c>
      <c r="J77" s="9">
        <v>1</v>
      </c>
      <c r="K77" s="9">
        <v>1673</v>
      </c>
    </row>
    <row r="78" spans="1:11" x14ac:dyDescent="0.25">
      <c r="A78" s="4" t="s">
        <v>165</v>
      </c>
      <c r="B78" s="4" t="s">
        <v>132</v>
      </c>
      <c r="C78" s="4" t="s">
        <v>166</v>
      </c>
      <c r="D78" s="5">
        <v>42685</v>
      </c>
      <c r="E78" s="6">
        <v>4401</v>
      </c>
      <c r="F78" s="6">
        <v>4306</v>
      </c>
      <c r="G78" s="7">
        <f t="shared" si="2"/>
        <v>0.97841399681890484</v>
      </c>
      <c r="H78" s="7" t="str">
        <f t="shared" si="3"/>
        <v>High</v>
      </c>
      <c r="I78" s="8" t="s">
        <v>39</v>
      </c>
      <c r="J78" s="9">
        <v>3</v>
      </c>
      <c r="K78" s="9">
        <v>1940</v>
      </c>
    </row>
    <row r="79" spans="1:11" x14ac:dyDescent="0.25">
      <c r="A79" s="4" t="s">
        <v>167</v>
      </c>
      <c r="B79" s="4" t="s">
        <v>132</v>
      </c>
      <c r="C79" s="4" t="s">
        <v>168</v>
      </c>
      <c r="D79" s="5">
        <v>42685</v>
      </c>
      <c r="E79" s="6">
        <v>9480</v>
      </c>
      <c r="F79" s="6">
        <v>9313</v>
      </c>
      <c r="G79" s="7">
        <f t="shared" si="2"/>
        <v>0.98238396624472579</v>
      </c>
      <c r="H79" s="7" t="str">
        <f t="shared" si="3"/>
        <v>High</v>
      </c>
      <c r="I79" s="8" t="s">
        <v>14</v>
      </c>
      <c r="J79" s="9">
        <v>3</v>
      </c>
      <c r="K79" s="9">
        <v>1597</v>
      </c>
    </row>
    <row r="80" spans="1:11" x14ac:dyDescent="0.25">
      <c r="A80" s="4" t="s">
        <v>169</v>
      </c>
      <c r="B80" s="4" t="s">
        <v>132</v>
      </c>
      <c r="C80" s="4" t="s">
        <v>170</v>
      </c>
      <c r="D80" s="5">
        <v>42685</v>
      </c>
      <c r="E80" s="6">
        <v>21755</v>
      </c>
      <c r="F80" s="6">
        <v>21357</v>
      </c>
      <c r="G80" s="7">
        <f t="shared" si="2"/>
        <v>0.98170535509078372</v>
      </c>
      <c r="H80" s="7" t="str">
        <f t="shared" si="3"/>
        <v>High</v>
      </c>
      <c r="I80" s="8" t="s">
        <v>17</v>
      </c>
      <c r="J80" s="9">
        <v>5</v>
      </c>
      <c r="K80" s="9">
        <v>2071</v>
      </c>
    </row>
    <row r="81" spans="1:11" x14ac:dyDescent="0.25">
      <c r="A81" s="4" t="s">
        <v>171</v>
      </c>
      <c r="B81" s="4" t="s">
        <v>132</v>
      </c>
      <c r="C81" s="4" t="s">
        <v>172</v>
      </c>
      <c r="D81" s="5">
        <v>42685</v>
      </c>
      <c r="E81" s="6">
        <v>7509</v>
      </c>
      <c r="F81" s="6">
        <v>7422</v>
      </c>
      <c r="G81" s="7">
        <f t="shared" si="2"/>
        <v>0.98841390331602075</v>
      </c>
      <c r="H81" s="7" t="str">
        <f t="shared" si="3"/>
        <v>High</v>
      </c>
      <c r="I81" s="8" t="s">
        <v>17</v>
      </c>
      <c r="J81" s="9">
        <v>3</v>
      </c>
      <c r="K81" s="9">
        <v>1920</v>
      </c>
    </row>
    <row r="82" spans="1:11" x14ac:dyDescent="0.25">
      <c r="A82" s="4" t="s">
        <v>173</v>
      </c>
      <c r="B82" s="4" t="s">
        <v>132</v>
      </c>
      <c r="C82" s="4" t="s">
        <v>174</v>
      </c>
      <c r="D82" s="5">
        <v>42737</v>
      </c>
      <c r="E82" s="6">
        <v>2682</v>
      </c>
      <c r="F82" s="6">
        <v>2614</v>
      </c>
      <c r="G82" s="7">
        <f t="shared" si="2"/>
        <v>0.97464578672632363</v>
      </c>
      <c r="H82" s="7" t="str">
        <f t="shared" si="3"/>
        <v>High</v>
      </c>
      <c r="I82" s="8" t="s">
        <v>14</v>
      </c>
      <c r="J82" s="9">
        <v>2</v>
      </c>
      <c r="K82" s="9">
        <v>1181</v>
      </c>
    </row>
    <row r="83" spans="1:11" x14ac:dyDescent="0.25">
      <c r="A83" s="4" t="s">
        <v>175</v>
      </c>
      <c r="B83" s="4" t="s">
        <v>176</v>
      </c>
      <c r="C83" s="4" t="s">
        <v>177</v>
      </c>
      <c r="D83" s="5">
        <v>42685</v>
      </c>
      <c r="E83" s="6">
        <v>14179</v>
      </c>
      <c r="F83" s="6">
        <v>14053</v>
      </c>
      <c r="G83" s="7">
        <f t="shared" si="2"/>
        <v>0.99111361873192749</v>
      </c>
      <c r="H83" s="7" t="str">
        <f t="shared" si="3"/>
        <v>High</v>
      </c>
      <c r="I83" s="8" t="s">
        <v>14</v>
      </c>
      <c r="J83" s="9">
        <v>1</v>
      </c>
      <c r="K83" s="9">
        <v>1754</v>
      </c>
    </row>
    <row r="84" spans="1:11" x14ac:dyDescent="0.25">
      <c r="A84" s="4" t="s">
        <v>178</v>
      </c>
      <c r="B84" s="4" t="s">
        <v>176</v>
      </c>
      <c r="C84" s="4" t="s">
        <v>179</v>
      </c>
      <c r="D84" s="5">
        <v>42685</v>
      </c>
      <c r="E84" s="6">
        <v>21402</v>
      </c>
      <c r="F84" s="6">
        <v>21259</v>
      </c>
      <c r="G84" s="7">
        <f t="shared" si="2"/>
        <v>0.99331838145967666</v>
      </c>
      <c r="H84" s="7" t="str">
        <f t="shared" si="3"/>
        <v>High</v>
      </c>
      <c r="I84" s="8" t="s">
        <v>17</v>
      </c>
      <c r="J84" s="9">
        <v>3</v>
      </c>
      <c r="K84" s="9">
        <v>1260</v>
      </c>
    </row>
    <row r="85" spans="1:11" x14ac:dyDescent="0.25">
      <c r="A85" s="4" t="s">
        <v>180</v>
      </c>
      <c r="B85" s="4" t="s">
        <v>176</v>
      </c>
      <c r="C85" s="4" t="s">
        <v>181</v>
      </c>
      <c r="D85" s="5">
        <v>42685</v>
      </c>
      <c r="E85" s="6">
        <v>5865</v>
      </c>
      <c r="F85" s="6">
        <v>5633</v>
      </c>
      <c r="G85" s="7">
        <f t="shared" si="2"/>
        <v>0.96044330775788578</v>
      </c>
      <c r="H85" s="7" t="str">
        <f t="shared" si="3"/>
        <v>High</v>
      </c>
      <c r="I85" s="8" t="s">
        <v>26</v>
      </c>
      <c r="J85" s="9">
        <v>1</v>
      </c>
      <c r="K85" s="9">
        <v>1123</v>
      </c>
    </row>
    <row r="86" spans="1:11" x14ac:dyDescent="0.25">
      <c r="A86" s="4" t="s">
        <v>182</v>
      </c>
      <c r="B86" s="4" t="s">
        <v>176</v>
      </c>
      <c r="C86" s="4" t="s">
        <v>183</v>
      </c>
      <c r="D86" s="5">
        <v>42685</v>
      </c>
      <c r="E86" s="6">
        <v>20061</v>
      </c>
      <c r="F86" s="6">
        <v>19841</v>
      </c>
      <c r="G86" s="7">
        <f t="shared" si="2"/>
        <v>0.98903344798364989</v>
      </c>
      <c r="H86" s="7" t="str">
        <f t="shared" si="3"/>
        <v>High</v>
      </c>
      <c r="I86" s="8" t="s">
        <v>17</v>
      </c>
      <c r="J86" s="9">
        <v>2</v>
      </c>
      <c r="K86" s="9">
        <v>1214</v>
      </c>
    </row>
    <row r="87" spans="1:11" x14ac:dyDescent="0.25">
      <c r="A87" s="4" t="s">
        <v>184</v>
      </c>
      <c r="B87" s="4" t="s">
        <v>176</v>
      </c>
      <c r="C87" s="4" t="s">
        <v>185</v>
      </c>
      <c r="D87" s="5">
        <v>42685</v>
      </c>
      <c r="E87" s="6">
        <v>18291</v>
      </c>
      <c r="F87" s="6">
        <v>17884</v>
      </c>
      <c r="G87" s="7">
        <f t="shared" si="2"/>
        <v>0.9777486195396643</v>
      </c>
      <c r="H87" s="7" t="str">
        <f t="shared" si="3"/>
        <v>High</v>
      </c>
      <c r="I87" s="8" t="s">
        <v>26</v>
      </c>
      <c r="J87" s="9">
        <v>5</v>
      </c>
      <c r="K87" s="9">
        <v>1133</v>
      </c>
    </row>
    <row r="88" spans="1:11" x14ac:dyDescent="0.25">
      <c r="A88" s="4" t="s">
        <v>186</v>
      </c>
      <c r="B88" s="4" t="s">
        <v>176</v>
      </c>
      <c r="C88" s="4" t="s">
        <v>187</v>
      </c>
      <c r="D88" s="5">
        <v>42685</v>
      </c>
      <c r="E88" s="6">
        <v>5014</v>
      </c>
      <c r="F88" s="6">
        <v>4754</v>
      </c>
      <c r="G88" s="7">
        <f t="shared" si="2"/>
        <v>0.94814519345831672</v>
      </c>
      <c r="H88" s="7" t="str">
        <f t="shared" si="3"/>
        <v>low</v>
      </c>
      <c r="I88" s="8" t="s">
        <v>26</v>
      </c>
      <c r="J88" s="9">
        <v>3</v>
      </c>
      <c r="K88" s="9">
        <v>1583</v>
      </c>
    </row>
    <row r="89" spans="1:11" x14ac:dyDescent="0.25">
      <c r="A89" s="4" t="s">
        <v>188</v>
      </c>
      <c r="B89" s="4" t="s">
        <v>176</v>
      </c>
      <c r="C89" s="4" t="s">
        <v>189</v>
      </c>
      <c r="D89" s="5">
        <v>42685</v>
      </c>
      <c r="E89" s="6">
        <v>17991</v>
      </c>
      <c r="F89" s="6">
        <v>17669</v>
      </c>
      <c r="G89" s="7">
        <f t="shared" si="2"/>
        <v>0.98210216219220725</v>
      </c>
      <c r="H89" s="7" t="str">
        <f t="shared" si="3"/>
        <v>High</v>
      </c>
      <c r="I89" s="8" t="s">
        <v>26</v>
      </c>
      <c r="J89" s="9">
        <v>2</v>
      </c>
      <c r="K89" s="9">
        <v>2209</v>
      </c>
    </row>
    <row r="90" spans="1:11" x14ac:dyDescent="0.25">
      <c r="A90" s="4" t="s">
        <v>190</v>
      </c>
      <c r="B90" s="4" t="s">
        <v>176</v>
      </c>
      <c r="C90" s="4" t="s">
        <v>191</v>
      </c>
      <c r="D90" s="5">
        <v>42685</v>
      </c>
      <c r="E90" s="6">
        <v>19420</v>
      </c>
      <c r="F90" s="6">
        <v>19081</v>
      </c>
      <c r="G90" s="7">
        <f t="shared" si="2"/>
        <v>0.98254376930998966</v>
      </c>
      <c r="H90" s="7" t="str">
        <f t="shared" si="3"/>
        <v>High</v>
      </c>
      <c r="I90" s="8" t="s">
        <v>26</v>
      </c>
      <c r="J90" s="9">
        <v>1</v>
      </c>
      <c r="K90" s="9">
        <v>2371</v>
      </c>
    </row>
    <row r="91" spans="1:11" x14ac:dyDescent="0.25">
      <c r="A91" s="4" t="s">
        <v>192</v>
      </c>
      <c r="B91" s="4" t="s">
        <v>176</v>
      </c>
      <c r="C91" s="4" t="s">
        <v>193</v>
      </c>
      <c r="D91" s="5">
        <v>42685</v>
      </c>
      <c r="E91" s="6">
        <v>8064</v>
      </c>
      <c r="F91" s="6">
        <v>7041</v>
      </c>
      <c r="G91" s="7">
        <f t="shared" si="2"/>
        <v>0.87313988095238093</v>
      </c>
      <c r="H91" s="7" t="str">
        <f t="shared" si="3"/>
        <v>low</v>
      </c>
      <c r="I91" s="8" t="s">
        <v>26</v>
      </c>
      <c r="J91" s="9">
        <v>1</v>
      </c>
      <c r="K91" s="9">
        <v>1456</v>
      </c>
    </row>
    <row r="92" spans="1:11" x14ac:dyDescent="0.25">
      <c r="A92" s="4" t="s">
        <v>194</v>
      </c>
      <c r="B92" s="4" t="s">
        <v>176</v>
      </c>
      <c r="C92" s="4" t="s">
        <v>195</v>
      </c>
      <c r="D92" s="5">
        <v>42685</v>
      </c>
      <c r="E92" s="6">
        <v>14046</v>
      </c>
      <c r="F92" s="6">
        <v>13559</v>
      </c>
      <c r="G92" s="7">
        <f t="shared" si="2"/>
        <v>0.96532820731880964</v>
      </c>
      <c r="H92" s="7" t="str">
        <f t="shared" si="3"/>
        <v>High</v>
      </c>
      <c r="I92" s="8" t="s">
        <v>26</v>
      </c>
      <c r="J92" s="9">
        <v>3</v>
      </c>
      <c r="K92" s="9">
        <v>1193</v>
      </c>
    </row>
    <row r="93" spans="1:11" x14ac:dyDescent="0.25">
      <c r="A93" s="4" t="s">
        <v>196</v>
      </c>
      <c r="B93" s="4" t="s">
        <v>176</v>
      </c>
      <c r="C93" s="4" t="s">
        <v>197</v>
      </c>
      <c r="D93" s="5">
        <v>42685</v>
      </c>
      <c r="E93" s="6">
        <v>17279</v>
      </c>
      <c r="F93" s="6">
        <v>15776</v>
      </c>
      <c r="G93" s="7">
        <f t="shared" si="2"/>
        <v>0.91301579952543555</v>
      </c>
      <c r="H93" s="7" t="str">
        <f t="shared" si="3"/>
        <v>low</v>
      </c>
      <c r="I93" s="8" t="s">
        <v>39</v>
      </c>
      <c r="J93" s="9">
        <v>5</v>
      </c>
      <c r="K93" s="9">
        <v>1898</v>
      </c>
    </row>
    <row r="94" spans="1:11" x14ac:dyDescent="0.25">
      <c r="A94" s="4" t="s">
        <v>198</v>
      </c>
      <c r="B94" s="4" t="s">
        <v>176</v>
      </c>
      <c r="C94" s="4" t="s">
        <v>199</v>
      </c>
      <c r="D94" s="5">
        <v>42685</v>
      </c>
      <c r="E94" s="6">
        <v>8819</v>
      </c>
      <c r="F94" s="6">
        <v>8710</v>
      </c>
      <c r="G94" s="7">
        <f t="shared" si="2"/>
        <v>0.98764032203197638</v>
      </c>
      <c r="H94" s="7" t="str">
        <f t="shared" si="3"/>
        <v>High</v>
      </c>
      <c r="I94" s="8" t="s">
        <v>26</v>
      </c>
      <c r="J94" s="9">
        <v>2</v>
      </c>
      <c r="K94" s="9">
        <v>1194</v>
      </c>
    </row>
    <row r="95" spans="1:11" x14ac:dyDescent="0.25">
      <c r="A95" s="4" t="s">
        <v>200</v>
      </c>
      <c r="B95" s="4" t="s">
        <v>176</v>
      </c>
      <c r="C95" s="4" t="s">
        <v>201</v>
      </c>
      <c r="D95" s="5">
        <v>42685</v>
      </c>
      <c r="E95" s="6">
        <v>2910</v>
      </c>
      <c r="F95" s="6">
        <v>2877</v>
      </c>
      <c r="G95" s="7">
        <f t="shared" si="2"/>
        <v>0.98865979381443303</v>
      </c>
      <c r="H95" s="7" t="str">
        <f t="shared" si="3"/>
        <v>High</v>
      </c>
      <c r="I95" s="8" t="s">
        <v>17</v>
      </c>
      <c r="J95" s="9">
        <v>5</v>
      </c>
      <c r="K95" s="9">
        <v>1456</v>
      </c>
    </row>
    <row r="96" spans="1:11" x14ac:dyDescent="0.25">
      <c r="A96" s="4" t="s">
        <v>202</v>
      </c>
      <c r="B96" s="4" t="s">
        <v>176</v>
      </c>
      <c r="C96" s="4" t="s">
        <v>203</v>
      </c>
      <c r="D96" s="5">
        <v>42685</v>
      </c>
      <c r="E96" s="6">
        <v>17860</v>
      </c>
      <c r="F96" s="6">
        <v>17727</v>
      </c>
      <c r="G96" s="7">
        <f t="shared" si="2"/>
        <v>0.99255319148936172</v>
      </c>
      <c r="H96" s="7" t="str">
        <f t="shared" si="3"/>
        <v>High</v>
      </c>
      <c r="I96" s="8" t="s">
        <v>39</v>
      </c>
      <c r="J96" s="9">
        <v>1</v>
      </c>
      <c r="K96" s="9">
        <v>2158</v>
      </c>
    </row>
    <row r="97" spans="1:11" x14ac:dyDescent="0.25">
      <c r="A97" s="4" t="s">
        <v>204</v>
      </c>
      <c r="B97" s="4" t="s">
        <v>176</v>
      </c>
      <c r="C97" s="4" t="s">
        <v>205</v>
      </c>
      <c r="D97" s="5">
        <v>42685</v>
      </c>
      <c r="E97" s="6">
        <v>12942</v>
      </c>
      <c r="F97" s="6">
        <v>12564</v>
      </c>
      <c r="G97" s="7">
        <f t="shared" si="2"/>
        <v>0.97079276773296241</v>
      </c>
      <c r="H97" s="7" t="str">
        <f t="shared" si="3"/>
        <v>High</v>
      </c>
      <c r="I97" s="8" t="s">
        <v>17</v>
      </c>
      <c r="J97" s="9">
        <v>4</v>
      </c>
      <c r="K97" s="9">
        <v>1855</v>
      </c>
    </row>
    <row r="98" spans="1:11" x14ac:dyDescent="0.25">
      <c r="A98" s="4" t="s">
        <v>206</v>
      </c>
      <c r="B98" s="4" t="s">
        <v>176</v>
      </c>
      <c r="C98" s="4" t="s">
        <v>207</v>
      </c>
      <c r="D98" s="5">
        <v>42685</v>
      </c>
      <c r="E98" s="6">
        <v>19813</v>
      </c>
      <c r="F98" s="6">
        <v>19608</v>
      </c>
      <c r="G98" s="7">
        <f t="shared" si="2"/>
        <v>0.98965325796194414</v>
      </c>
      <c r="H98" s="7" t="str">
        <f t="shared" si="3"/>
        <v>High</v>
      </c>
      <c r="I98" s="8" t="s">
        <v>26</v>
      </c>
      <c r="J98" s="9">
        <v>3</v>
      </c>
      <c r="K98" s="9">
        <v>2328</v>
      </c>
    </row>
    <row r="99" spans="1:11" x14ac:dyDescent="0.25">
      <c r="A99" s="4" t="s">
        <v>208</v>
      </c>
      <c r="B99" s="4" t="s">
        <v>176</v>
      </c>
      <c r="C99" s="4" t="s">
        <v>209</v>
      </c>
      <c r="D99" s="5">
        <v>42685</v>
      </c>
      <c r="E99" s="6">
        <v>13976</v>
      </c>
      <c r="F99" s="6">
        <v>13729</v>
      </c>
      <c r="G99" s="7">
        <f t="shared" si="2"/>
        <v>0.98232684602175158</v>
      </c>
      <c r="H99" s="7" t="str">
        <f t="shared" si="3"/>
        <v>High</v>
      </c>
      <c r="I99" s="8" t="s">
        <v>39</v>
      </c>
      <c r="J99" s="9">
        <v>2</v>
      </c>
      <c r="K99" s="9">
        <v>2342</v>
      </c>
    </row>
    <row r="100" spans="1:11" x14ac:dyDescent="0.25">
      <c r="A100" s="4" t="s">
        <v>210</v>
      </c>
      <c r="B100" s="4" t="s">
        <v>176</v>
      </c>
      <c r="C100" s="4" t="s">
        <v>211</v>
      </c>
      <c r="D100" s="5">
        <v>42685</v>
      </c>
      <c r="E100" s="6">
        <v>19426</v>
      </c>
      <c r="F100" s="6">
        <v>19286</v>
      </c>
      <c r="G100" s="7">
        <f t="shared" si="2"/>
        <v>0.99279316380109128</v>
      </c>
      <c r="H100" s="7" t="str">
        <f t="shared" si="3"/>
        <v>High</v>
      </c>
      <c r="I100" s="8" t="s">
        <v>17</v>
      </c>
      <c r="J100" s="9">
        <v>2</v>
      </c>
      <c r="K100" s="9">
        <v>2297</v>
      </c>
    </row>
    <row r="101" spans="1:11" x14ac:dyDescent="0.25">
      <c r="A101" s="4" t="s">
        <v>212</v>
      </c>
      <c r="B101" s="4" t="s">
        <v>176</v>
      </c>
      <c r="C101" s="4" t="s">
        <v>213</v>
      </c>
      <c r="D101" s="5">
        <v>42685</v>
      </c>
      <c r="E101" s="6">
        <v>19952</v>
      </c>
      <c r="F101" s="6">
        <v>19740</v>
      </c>
      <c r="G101" s="7">
        <f t="shared" si="2"/>
        <v>0.98937449879711303</v>
      </c>
      <c r="H101" s="7" t="str">
        <f t="shared" si="3"/>
        <v>High</v>
      </c>
      <c r="I101" s="8" t="s">
        <v>26</v>
      </c>
      <c r="J101" s="9">
        <v>3</v>
      </c>
      <c r="K101" s="9">
        <v>1279</v>
      </c>
    </row>
    <row r="102" spans="1:11" x14ac:dyDescent="0.25">
      <c r="A102" s="4" t="s">
        <v>214</v>
      </c>
      <c r="B102" s="4" t="s">
        <v>176</v>
      </c>
      <c r="C102" s="4" t="s">
        <v>215</v>
      </c>
      <c r="D102" s="5">
        <v>42685</v>
      </c>
      <c r="E102" s="6">
        <v>17045</v>
      </c>
      <c r="F102" s="6">
        <v>16737</v>
      </c>
      <c r="G102" s="7">
        <f t="shared" si="2"/>
        <v>0.98193018480492811</v>
      </c>
      <c r="H102" s="7" t="str">
        <f t="shared" si="3"/>
        <v>High</v>
      </c>
      <c r="I102" s="8" t="s">
        <v>39</v>
      </c>
      <c r="J102" s="9">
        <v>1</v>
      </c>
      <c r="K102" s="9">
        <v>1383</v>
      </c>
    </row>
    <row r="103" spans="1:11" x14ac:dyDescent="0.25">
      <c r="A103" s="4" t="s">
        <v>216</v>
      </c>
      <c r="B103" s="4" t="s">
        <v>176</v>
      </c>
      <c r="C103" s="4" t="s">
        <v>217</v>
      </c>
      <c r="D103" s="5">
        <v>42685</v>
      </c>
      <c r="E103" s="6">
        <v>5878</v>
      </c>
      <c r="F103" s="6">
        <v>5703</v>
      </c>
      <c r="G103" s="7">
        <f t="shared" si="2"/>
        <v>0.9702279686968357</v>
      </c>
      <c r="H103" s="7" t="str">
        <f t="shared" si="3"/>
        <v>High</v>
      </c>
      <c r="I103" s="8" t="s">
        <v>39</v>
      </c>
      <c r="J103" s="9">
        <v>3</v>
      </c>
      <c r="K103" s="9">
        <v>2163</v>
      </c>
    </row>
    <row r="104" spans="1:11" x14ac:dyDescent="0.25">
      <c r="A104" s="4" t="s">
        <v>218</v>
      </c>
      <c r="B104" s="4" t="s">
        <v>176</v>
      </c>
      <c r="C104" s="4" t="s">
        <v>219</v>
      </c>
      <c r="D104" s="5">
        <v>42685</v>
      </c>
      <c r="E104" s="6">
        <v>19922</v>
      </c>
      <c r="F104" s="6">
        <v>19163</v>
      </c>
      <c r="G104" s="7">
        <f t="shared" si="2"/>
        <v>0.9619014155205301</v>
      </c>
      <c r="H104" s="7" t="str">
        <f t="shared" si="3"/>
        <v>High</v>
      </c>
      <c r="I104" s="8" t="s">
        <v>17</v>
      </c>
      <c r="J104" s="9">
        <v>5</v>
      </c>
      <c r="K104" s="9">
        <v>1284</v>
      </c>
    </row>
    <row r="105" spans="1:11" x14ac:dyDescent="0.25">
      <c r="A105" s="4" t="s">
        <v>220</v>
      </c>
      <c r="B105" s="4" t="s">
        <v>176</v>
      </c>
      <c r="C105" s="4" t="s">
        <v>221</v>
      </c>
      <c r="D105" s="5">
        <v>42685</v>
      </c>
      <c r="E105" s="6">
        <v>16287</v>
      </c>
      <c r="F105" s="6">
        <v>16138</v>
      </c>
      <c r="G105" s="7">
        <f t="shared" si="2"/>
        <v>0.99085159943513235</v>
      </c>
      <c r="H105" s="7" t="str">
        <f t="shared" si="3"/>
        <v>High</v>
      </c>
      <c r="I105" s="8" t="s">
        <v>39</v>
      </c>
      <c r="J105" s="9">
        <v>1</v>
      </c>
      <c r="K105" s="9">
        <v>2069</v>
      </c>
    </row>
    <row r="106" spans="1:11" x14ac:dyDescent="0.25">
      <c r="A106" s="4" t="s">
        <v>222</v>
      </c>
      <c r="B106" s="4" t="s">
        <v>223</v>
      </c>
      <c r="C106" s="4" t="s">
        <v>224</v>
      </c>
      <c r="D106" s="5">
        <v>42593</v>
      </c>
      <c r="E106" s="6">
        <v>20461</v>
      </c>
      <c r="F106" s="6">
        <v>20246</v>
      </c>
      <c r="G106" s="7">
        <f t="shared" si="2"/>
        <v>0.9894922046820781</v>
      </c>
      <c r="H106" s="7" t="str">
        <f t="shared" si="3"/>
        <v>High</v>
      </c>
      <c r="I106" s="8" t="s">
        <v>39</v>
      </c>
      <c r="J106" s="9">
        <v>5</v>
      </c>
      <c r="K106" s="9">
        <v>1430</v>
      </c>
    </row>
    <row r="107" spans="1:11" x14ac:dyDescent="0.25">
      <c r="A107" s="4" t="s">
        <v>225</v>
      </c>
      <c r="B107" s="4" t="s">
        <v>223</v>
      </c>
      <c r="C107" s="4" t="s">
        <v>226</v>
      </c>
      <c r="D107" s="5">
        <v>42593</v>
      </c>
      <c r="E107" s="6">
        <v>2942</v>
      </c>
      <c r="F107" s="6">
        <v>2762</v>
      </c>
      <c r="G107" s="7">
        <f t="shared" si="2"/>
        <v>0.93881713120326304</v>
      </c>
      <c r="H107" s="7" t="str">
        <f t="shared" si="3"/>
        <v>low</v>
      </c>
      <c r="I107" s="8" t="s">
        <v>14</v>
      </c>
      <c r="J107" s="9">
        <v>3</v>
      </c>
      <c r="K107" s="9">
        <v>1152</v>
      </c>
    </row>
    <row r="108" spans="1:11" x14ac:dyDescent="0.25">
      <c r="A108" s="4" t="s">
        <v>227</v>
      </c>
      <c r="B108" s="4" t="s">
        <v>223</v>
      </c>
      <c r="C108" s="4" t="s">
        <v>228</v>
      </c>
      <c r="D108" s="5">
        <v>42593</v>
      </c>
      <c r="E108" s="6">
        <v>3627</v>
      </c>
      <c r="F108" s="6">
        <v>3240</v>
      </c>
      <c r="G108" s="7">
        <f t="shared" si="2"/>
        <v>0.89330024813895781</v>
      </c>
      <c r="H108" s="7" t="str">
        <f t="shared" si="3"/>
        <v>low</v>
      </c>
      <c r="I108" s="8" t="s">
        <v>39</v>
      </c>
      <c r="J108" s="9">
        <v>5</v>
      </c>
      <c r="K108" s="9">
        <v>1688</v>
      </c>
    </row>
    <row r="109" spans="1:11" x14ac:dyDescent="0.25">
      <c r="A109" s="4" t="s">
        <v>229</v>
      </c>
      <c r="B109" s="4" t="s">
        <v>223</v>
      </c>
      <c r="C109" s="4" t="s">
        <v>230</v>
      </c>
      <c r="D109" s="5">
        <v>42593</v>
      </c>
      <c r="E109" s="6">
        <v>20956</v>
      </c>
      <c r="F109" s="6">
        <v>20348</v>
      </c>
      <c r="G109" s="7">
        <f t="shared" si="2"/>
        <v>0.97098682954762361</v>
      </c>
      <c r="H109" s="7" t="str">
        <f t="shared" si="3"/>
        <v>High</v>
      </c>
      <c r="I109" s="8" t="s">
        <v>39</v>
      </c>
      <c r="J109" s="9">
        <v>3</v>
      </c>
      <c r="K109" s="9">
        <v>1057</v>
      </c>
    </row>
    <row r="110" spans="1:11" x14ac:dyDescent="0.25">
      <c r="A110" s="4" t="s">
        <v>231</v>
      </c>
      <c r="B110" s="4" t="s">
        <v>223</v>
      </c>
      <c r="C110" s="4" t="s">
        <v>232</v>
      </c>
      <c r="D110" s="5">
        <v>42593</v>
      </c>
      <c r="E110" s="6">
        <v>19658</v>
      </c>
      <c r="F110" s="6">
        <v>19241</v>
      </c>
      <c r="G110" s="7">
        <f t="shared" si="2"/>
        <v>0.97878726218333501</v>
      </c>
      <c r="H110" s="7" t="str">
        <f t="shared" si="3"/>
        <v>High</v>
      </c>
      <c r="I110" s="8" t="s">
        <v>39</v>
      </c>
      <c r="J110" s="9">
        <v>1</v>
      </c>
      <c r="K110" s="9">
        <v>1531</v>
      </c>
    </row>
    <row r="111" spans="1:11" x14ac:dyDescent="0.25">
      <c r="A111" s="4" t="s">
        <v>233</v>
      </c>
      <c r="B111" s="4" t="s">
        <v>223</v>
      </c>
      <c r="C111" s="4" t="s">
        <v>234</v>
      </c>
      <c r="D111" s="5">
        <v>42593</v>
      </c>
      <c r="E111" s="6">
        <v>19593</v>
      </c>
      <c r="F111" s="6">
        <v>19574</v>
      </c>
      <c r="G111" s="7">
        <f t="shared" si="2"/>
        <v>0.99903026591129485</v>
      </c>
      <c r="H111" s="7" t="str">
        <f t="shared" si="3"/>
        <v>High</v>
      </c>
      <c r="I111" s="8" t="s">
        <v>26</v>
      </c>
      <c r="J111" s="9">
        <v>5</v>
      </c>
      <c r="K111" s="9">
        <v>2164</v>
      </c>
    </row>
    <row r="112" spans="1:11" x14ac:dyDescent="0.25">
      <c r="A112" s="4" t="s">
        <v>235</v>
      </c>
      <c r="B112" s="4" t="s">
        <v>223</v>
      </c>
      <c r="C112" s="4" t="s">
        <v>236</v>
      </c>
      <c r="D112" s="5">
        <v>42593</v>
      </c>
      <c r="E112" s="6">
        <v>21768</v>
      </c>
      <c r="F112" s="6">
        <v>21343</v>
      </c>
      <c r="G112" s="7">
        <f t="shared" si="2"/>
        <v>0.98047592796765892</v>
      </c>
      <c r="H112" s="7" t="str">
        <f t="shared" si="3"/>
        <v>High</v>
      </c>
      <c r="I112" s="8" t="s">
        <v>39</v>
      </c>
      <c r="J112" s="9">
        <v>4</v>
      </c>
      <c r="K112" s="9">
        <v>1304</v>
      </c>
    </row>
    <row r="113" spans="1:11" x14ac:dyDescent="0.25">
      <c r="A113" s="4" t="s">
        <v>237</v>
      </c>
      <c r="B113" s="4" t="s">
        <v>223</v>
      </c>
      <c r="C113" s="4" t="s">
        <v>238</v>
      </c>
      <c r="D113" s="5">
        <v>42593</v>
      </c>
      <c r="E113" s="6">
        <v>5345</v>
      </c>
      <c r="F113" s="6">
        <v>5329</v>
      </c>
      <c r="G113" s="7">
        <f t="shared" si="2"/>
        <v>0.99700654817586531</v>
      </c>
      <c r="H113" s="7" t="str">
        <f t="shared" si="3"/>
        <v>High</v>
      </c>
      <c r="I113" s="8" t="s">
        <v>14</v>
      </c>
      <c r="J113" s="9">
        <v>2</v>
      </c>
      <c r="K113" s="9">
        <v>2170</v>
      </c>
    </row>
    <row r="114" spans="1:11" x14ac:dyDescent="0.25">
      <c r="A114" s="4" t="s">
        <v>239</v>
      </c>
      <c r="B114" s="4" t="s">
        <v>223</v>
      </c>
      <c r="C114" s="4" t="s">
        <v>240</v>
      </c>
      <c r="D114" s="5">
        <v>42593</v>
      </c>
      <c r="E114" s="6">
        <v>9914</v>
      </c>
      <c r="F114" s="6">
        <v>9713</v>
      </c>
      <c r="G114" s="7">
        <f t="shared" si="2"/>
        <v>0.97972564050837196</v>
      </c>
      <c r="H114" s="7" t="str">
        <f t="shared" si="3"/>
        <v>High</v>
      </c>
      <c r="I114" s="8" t="s">
        <v>39</v>
      </c>
      <c r="J114" s="9">
        <v>3</v>
      </c>
      <c r="K114" s="9">
        <v>2053</v>
      </c>
    </row>
    <row r="115" spans="1:11" x14ac:dyDescent="0.25">
      <c r="A115" s="4" t="s">
        <v>241</v>
      </c>
      <c r="B115" s="4" t="s">
        <v>223</v>
      </c>
      <c r="C115" s="4" t="s">
        <v>242</v>
      </c>
      <c r="D115" s="5">
        <v>42593</v>
      </c>
      <c r="E115" s="6">
        <v>14795</v>
      </c>
      <c r="F115" s="6">
        <v>14654</v>
      </c>
      <c r="G115" s="7">
        <f t="shared" si="2"/>
        <v>0.99046975329503206</v>
      </c>
      <c r="H115" s="7" t="str">
        <f t="shared" si="3"/>
        <v>High</v>
      </c>
      <c r="I115" s="8" t="s">
        <v>39</v>
      </c>
      <c r="J115" s="9">
        <v>2</v>
      </c>
      <c r="K115" s="9">
        <v>2064</v>
      </c>
    </row>
    <row r="116" spans="1:11" x14ac:dyDescent="0.25">
      <c r="A116" s="4" t="s">
        <v>243</v>
      </c>
      <c r="B116" s="4" t="s">
        <v>223</v>
      </c>
      <c r="C116" s="4" t="s">
        <v>244</v>
      </c>
      <c r="D116" s="5">
        <v>42593</v>
      </c>
      <c r="E116" s="6">
        <v>3139</v>
      </c>
      <c r="F116" s="6">
        <v>2748</v>
      </c>
      <c r="G116" s="7">
        <f t="shared" si="2"/>
        <v>0.87543803759158967</v>
      </c>
      <c r="H116" s="7" t="str">
        <f t="shared" si="3"/>
        <v>low</v>
      </c>
      <c r="I116" s="8" t="s">
        <v>14</v>
      </c>
      <c r="J116" s="9">
        <v>5</v>
      </c>
      <c r="K116" s="9">
        <v>1925</v>
      </c>
    </row>
    <row r="117" spans="1:11" x14ac:dyDescent="0.25">
      <c r="A117" s="4" t="s">
        <v>245</v>
      </c>
      <c r="B117" s="4" t="s">
        <v>223</v>
      </c>
      <c r="C117" s="4" t="s">
        <v>246</v>
      </c>
      <c r="D117" s="5">
        <v>42593</v>
      </c>
      <c r="E117" s="6">
        <v>1887</v>
      </c>
      <c r="F117" s="6">
        <v>1579</v>
      </c>
      <c r="G117" s="7">
        <f t="shared" si="2"/>
        <v>0.83677795442501324</v>
      </c>
      <c r="H117" s="7" t="str">
        <f t="shared" si="3"/>
        <v>low</v>
      </c>
      <c r="I117" s="8" t="s">
        <v>14</v>
      </c>
      <c r="J117" s="9">
        <v>1</v>
      </c>
      <c r="K117" s="9">
        <v>2202</v>
      </c>
    </row>
    <row r="118" spans="1:11" x14ac:dyDescent="0.25">
      <c r="A118" s="4" t="s">
        <v>247</v>
      </c>
      <c r="B118" s="4" t="s">
        <v>223</v>
      </c>
      <c r="C118" s="4" t="s">
        <v>248</v>
      </c>
      <c r="D118" s="5">
        <v>42593</v>
      </c>
      <c r="E118" s="6">
        <v>19595</v>
      </c>
      <c r="F118" s="6">
        <v>19215</v>
      </c>
      <c r="G118" s="7">
        <f t="shared" si="2"/>
        <v>0.98060729778004596</v>
      </c>
      <c r="H118" s="7" t="str">
        <f t="shared" si="3"/>
        <v>High</v>
      </c>
      <c r="I118" s="8" t="s">
        <v>39</v>
      </c>
      <c r="J118" s="9">
        <v>1</v>
      </c>
      <c r="K118" s="9">
        <v>1496</v>
      </c>
    </row>
    <row r="119" spans="1:11" x14ac:dyDescent="0.25">
      <c r="A119" s="4" t="s">
        <v>247</v>
      </c>
      <c r="B119" s="4" t="s">
        <v>223</v>
      </c>
      <c r="C119" s="4" t="s">
        <v>248</v>
      </c>
      <c r="D119" s="5">
        <v>42593</v>
      </c>
      <c r="E119" s="6">
        <v>7679</v>
      </c>
      <c r="F119" s="6">
        <v>7492</v>
      </c>
      <c r="G119" s="7">
        <f t="shared" si="2"/>
        <v>0.97564787081651261</v>
      </c>
      <c r="H119" s="7" t="str">
        <f t="shared" si="3"/>
        <v>High</v>
      </c>
      <c r="I119" s="8" t="s">
        <v>17</v>
      </c>
      <c r="J119" s="9">
        <v>2</v>
      </c>
      <c r="K119" s="9">
        <v>1784</v>
      </c>
    </row>
    <row r="120" spans="1:11" x14ac:dyDescent="0.25">
      <c r="A120" s="4" t="s">
        <v>249</v>
      </c>
      <c r="B120" s="4" t="s">
        <v>223</v>
      </c>
      <c r="C120" s="4" t="s">
        <v>250</v>
      </c>
      <c r="D120" s="5">
        <v>42593</v>
      </c>
      <c r="E120" s="6">
        <v>17967</v>
      </c>
      <c r="F120" s="6">
        <v>17604</v>
      </c>
      <c r="G120" s="7">
        <f t="shared" si="2"/>
        <v>0.97979629320420769</v>
      </c>
      <c r="H120" s="7" t="str">
        <f t="shared" si="3"/>
        <v>High</v>
      </c>
      <c r="I120" s="8" t="s">
        <v>17</v>
      </c>
      <c r="J120" s="9">
        <v>5</v>
      </c>
      <c r="K120" s="9">
        <v>1638</v>
      </c>
    </row>
    <row r="121" spans="1:11" x14ac:dyDescent="0.25">
      <c r="A121" s="4" t="s">
        <v>251</v>
      </c>
      <c r="B121" s="4" t="s">
        <v>223</v>
      </c>
      <c r="C121" s="4" t="s">
        <v>252</v>
      </c>
      <c r="D121" s="5">
        <v>42593</v>
      </c>
      <c r="E121" s="6">
        <v>15116</v>
      </c>
      <c r="F121" s="6">
        <v>14700</v>
      </c>
      <c r="G121" s="7">
        <f t="shared" si="2"/>
        <v>0.97247949192908179</v>
      </c>
      <c r="H121" s="7" t="str">
        <f t="shared" si="3"/>
        <v>High</v>
      </c>
      <c r="I121" s="8" t="s">
        <v>14</v>
      </c>
      <c r="J121" s="9">
        <v>4</v>
      </c>
      <c r="K121" s="9">
        <v>1859</v>
      </c>
    </row>
    <row r="122" spans="1:11" x14ac:dyDescent="0.25">
      <c r="A122" s="4" t="s">
        <v>253</v>
      </c>
      <c r="B122" s="4" t="s">
        <v>223</v>
      </c>
      <c r="C122" s="4" t="s">
        <v>254</v>
      </c>
      <c r="D122" s="5">
        <v>42593</v>
      </c>
      <c r="E122" s="6">
        <v>19555</v>
      </c>
      <c r="F122" s="6">
        <v>19332</v>
      </c>
      <c r="G122" s="7">
        <f t="shared" si="2"/>
        <v>0.98859626693940172</v>
      </c>
      <c r="H122" s="7" t="str">
        <f t="shared" si="3"/>
        <v>High</v>
      </c>
      <c r="I122" s="8" t="s">
        <v>14</v>
      </c>
      <c r="J122" s="9">
        <v>2</v>
      </c>
      <c r="K122" s="9">
        <v>1774</v>
      </c>
    </row>
    <row r="123" spans="1:11" x14ac:dyDescent="0.25">
      <c r="A123" s="4" t="s">
        <v>255</v>
      </c>
      <c r="B123" s="4" t="s">
        <v>223</v>
      </c>
      <c r="C123" s="4" t="s">
        <v>256</v>
      </c>
      <c r="D123" s="5">
        <v>42593</v>
      </c>
      <c r="E123" s="6">
        <v>20443</v>
      </c>
      <c r="F123" s="6">
        <v>20187</v>
      </c>
      <c r="G123" s="7">
        <f t="shared" si="2"/>
        <v>0.98747737611896491</v>
      </c>
      <c r="H123" s="7" t="str">
        <f t="shared" si="3"/>
        <v>High</v>
      </c>
      <c r="I123" s="8" t="s">
        <v>17</v>
      </c>
      <c r="J123" s="9">
        <v>3</v>
      </c>
      <c r="K123" s="9">
        <v>2436</v>
      </c>
    </row>
    <row r="124" spans="1:11" x14ac:dyDescent="0.25">
      <c r="A124" s="4" t="s">
        <v>257</v>
      </c>
      <c r="B124" s="4" t="s">
        <v>223</v>
      </c>
      <c r="C124" s="4" t="s">
        <v>258</v>
      </c>
      <c r="D124" s="5">
        <v>42593</v>
      </c>
      <c r="E124" s="6">
        <v>5243</v>
      </c>
      <c r="F124" s="6">
        <v>5089</v>
      </c>
      <c r="G124" s="7">
        <f t="shared" si="2"/>
        <v>0.97062750333778369</v>
      </c>
      <c r="H124" s="7" t="str">
        <f t="shared" si="3"/>
        <v>High</v>
      </c>
      <c r="I124" s="8" t="s">
        <v>17</v>
      </c>
      <c r="J124" s="9">
        <v>1</v>
      </c>
      <c r="K124" s="9">
        <v>2364</v>
      </c>
    </row>
    <row r="125" spans="1:11" x14ac:dyDescent="0.25">
      <c r="A125" s="4" t="s">
        <v>259</v>
      </c>
      <c r="B125" s="4" t="s">
        <v>223</v>
      </c>
      <c r="C125" s="4" t="s">
        <v>260</v>
      </c>
      <c r="D125" s="5">
        <v>42593</v>
      </c>
      <c r="E125" s="6">
        <v>8975</v>
      </c>
      <c r="F125" s="6">
        <v>8756</v>
      </c>
      <c r="G125" s="7">
        <f t="shared" si="2"/>
        <v>0.97559888579387188</v>
      </c>
      <c r="H125" s="7" t="str">
        <f t="shared" si="3"/>
        <v>High</v>
      </c>
      <c r="I125" s="8" t="s">
        <v>26</v>
      </c>
      <c r="J125" s="9">
        <v>2</v>
      </c>
      <c r="K125" s="9">
        <v>1665</v>
      </c>
    </row>
    <row r="126" spans="1:11" x14ac:dyDescent="0.25">
      <c r="A126" s="4" t="s">
        <v>261</v>
      </c>
      <c r="B126" s="4" t="s">
        <v>223</v>
      </c>
      <c r="C126" s="4" t="s">
        <v>262</v>
      </c>
      <c r="D126" s="5">
        <v>42593</v>
      </c>
      <c r="E126" s="6">
        <v>4121</v>
      </c>
      <c r="F126" s="6">
        <v>3643</v>
      </c>
      <c r="G126" s="7">
        <f t="shared" si="2"/>
        <v>0.88400873574375149</v>
      </c>
      <c r="H126" s="7" t="str">
        <f t="shared" si="3"/>
        <v>low</v>
      </c>
      <c r="I126" s="8" t="s">
        <v>39</v>
      </c>
      <c r="J126" s="9">
        <v>1</v>
      </c>
      <c r="K126" s="9">
        <v>2342</v>
      </c>
    </row>
    <row r="127" spans="1:11" x14ac:dyDescent="0.25">
      <c r="A127" s="4" t="s">
        <v>263</v>
      </c>
      <c r="B127" s="4" t="s">
        <v>223</v>
      </c>
      <c r="C127" s="4" t="s">
        <v>264</v>
      </c>
      <c r="D127" s="5">
        <v>42593</v>
      </c>
      <c r="E127" s="6">
        <v>6880</v>
      </c>
      <c r="F127" s="6">
        <v>6657</v>
      </c>
      <c r="G127" s="7">
        <f t="shared" si="2"/>
        <v>0.96758720930232556</v>
      </c>
      <c r="H127" s="7" t="str">
        <f t="shared" si="3"/>
        <v>High</v>
      </c>
      <c r="I127" s="8" t="s">
        <v>39</v>
      </c>
      <c r="J127" s="9">
        <v>1</v>
      </c>
      <c r="K127" s="9">
        <v>2284</v>
      </c>
    </row>
  </sheetData>
  <mergeCells count="1">
    <mergeCell ref="A1:K1"/>
  </mergeCells>
  <conditionalFormatting sqref="D3:D127">
    <cfRule type="timePeriod" dxfId="0" priority="1" timePeriod="yesterday">
      <formula>FLOOR(D3,1)=TODAY()-1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سلل صحية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2017-08-14T11:05:51Z</dcterms:created>
  <dcterms:modified xsi:type="dcterms:W3CDTF">2024-05-04T14:16:42Z</dcterms:modified>
</cp:coreProperties>
</file>